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kmacair/Documents/Personal_Projects/teacher_dashboard_ph/public/templates/"/>
    </mc:Choice>
  </mc:AlternateContent>
  <xr:revisionPtr revIDLastSave="0" documentId="13_ncr:1_{57F57225-C819-7C49-B82B-048B1AEF028A}" xr6:coauthVersionLast="47" xr6:coauthVersionMax="47" xr10:uidLastSave="{00000000-0000-0000-0000-000000000000}"/>
  <bookViews>
    <workbookView xWindow="1040" yWindow="600" windowWidth="50160" windowHeight="28200" activeTab="1" xr2:uid="{00000000-000D-0000-FFFF-FFFF00000000}"/>
  </bookViews>
  <sheets>
    <sheet name="Home" sheetId="1" r:id="rId1"/>
    <sheet name="INPUT DATA" sheetId="2" r:id="rId2"/>
    <sheet name="TERM 1 SUMMARY" sheetId="4" r:id="rId3"/>
    <sheet name="TERM 2 SUMMARY" sheetId="5" r:id="rId4"/>
    <sheet name="TERM 3 SUMMARY" sheetId="6" r:id="rId5"/>
    <sheet name="_SF9_LEARNER_LIST" sheetId="8" state="hidden" r:id="rId6"/>
  </sheets>
  <definedNames>
    <definedName name="SF9Learners">_SF9_LEARNER_LIST!$A$1:INDEX(_SF9_LEARNER_LIST!$A$1:$A$100,MAX(1,COUNTIF(_SF9_LEARNER_LIST!$A$1:$A$100,"?*")))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jbQ8eCuK5lDKc/vFN4pynvsxEKMoBWolb2GazK7RVPU="/>
    </ext>
  </extLst>
</workbook>
</file>

<file path=xl/calcChain.xml><?xml version="1.0" encoding="utf-8"?>
<calcChain xmlns="http://schemas.openxmlformats.org/spreadsheetml/2006/main">
  <c r="A100" i="8" l="1" a="1"/>
  <c r="A100" i="8" s="1"/>
  <c r="A99" i="8" a="1"/>
  <c r="A99" i="8" s="1"/>
  <c r="A98" i="8" a="1"/>
  <c r="A98" i="8" s="1"/>
  <c r="A97" i="8" a="1"/>
  <c r="A97" i="8" s="1"/>
  <c r="A96" i="8" a="1"/>
  <c r="A96" i="8" s="1"/>
  <c r="A95" i="8" a="1"/>
  <c r="A95" i="8" s="1"/>
  <c r="A94" i="8" a="1"/>
  <c r="A94" i="8" s="1"/>
  <c r="A93" i="8" a="1"/>
  <c r="A93" i="8" s="1"/>
  <c r="A92" i="8" a="1"/>
  <c r="A92" i="8" s="1"/>
  <c r="A91" i="8" a="1"/>
  <c r="A91" i="8" s="1"/>
  <c r="A90" i="8" a="1"/>
  <c r="A90" i="8" s="1"/>
  <c r="A89" i="8" a="1"/>
  <c r="A89" i="8" s="1"/>
  <c r="A88" i="8" a="1"/>
  <c r="A88" i="8" s="1"/>
  <c r="A87" i="8" a="1"/>
  <c r="A87" i="8" s="1"/>
  <c r="A86" i="8" a="1"/>
  <c r="A86" i="8" s="1"/>
  <c r="A85" i="8" a="1"/>
  <c r="A85" i="8" s="1"/>
  <c r="A84" i="8" a="1"/>
  <c r="A84" i="8" s="1"/>
  <c r="A83" i="8" a="1"/>
  <c r="A83" i="8" s="1"/>
  <c r="A82" i="8" a="1"/>
  <c r="A82" i="8" s="1"/>
  <c r="A81" i="8" a="1"/>
  <c r="A81" i="8" s="1"/>
  <c r="A80" i="8" a="1"/>
  <c r="A80" i="8" s="1"/>
  <c r="A79" i="8" a="1"/>
  <c r="A79" i="8" s="1"/>
  <c r="A78" i="8" a="1"/>
  <c r="A78" i="8" s="1"/>
  <c r="A77" i="8" a="1"/>
  <c r="A77" i="8" s="1"/>
  <c r="A76" i="8" a="1"/>
  <c r="A76" i="8" s="1"/>
  <c r="A75" i="8" a="1"/>
  <c r="A75" i="8" s="1"/>
  <c r="A74" i="8" a="1"/>
  <c r="A74" i="8" s="1"/>
  <c r="A73" i="8" a="1"/>
  <c r="A73" i="8" s="1"/>
  <c r="A72" i="8" a="1"/>
  <c r="A72" i="8" s="1"/>
  <c r="A71" i="8" a="1"/>
  <c r="A71" i="8" s="1"/>
  <c r="A70" i="8" a="1"/>
  <c r="A70" i="8" s="1"/>
  <c r="A69" i="8" a="1"/>
  <c r="A69" i="8" s="1"/>
  <c r="A68" i="8" a="1"/>
  <c r="A68" i="8" s="1"/>
  <c r="A67" i="8" a="1"/>
  <c r="A67" i="8" s="1"/>
  <c r="A66" i="8" a="1"/>
  <c r="A66" i="8" s="1"/>
  <c r="A65" i="8" a="1"/>
  <c r="A65" i="8" s="1"/>
  <c r="A64" i="8" a="1"/>
  <c r="A64" i="8" s="1"/>
  <c r="A63" i="8" a="1"/>
  <c r="A63" i="8" s="1"/>
  <c r="A62" i="8" a="1"/>
  <c r="A62" i="8" s="1"/>
  <c r="A61" i="8" a="1"/>
  <c r="A61" i="8" s="1"/>
  <c r="A60" i="8" a="1"/>
  <c r="A60" i="8" s="1"/>
  <c r="A59" i="8" a="1"/>
  <c r="A59" i="8" s="1"/>
  <c r="A58" i="8" a="1"/>
  <c r="A58" i="8" s="1"/>
  <c r="A57" i="8" a="1"/>
  <c r="A57" i="8" s="1"/>
  <c r="A56" i="8" a="1"/>
  <c r="A56" i="8" s="1"/>
  <c r="A55" i="8" a="1"/>
  <c r="A55" i="8" s="1"/>
  <c r="A54" i="8" a="1"/>
  <c r="A54" i="8" s="1"/>
  <c r="A53" i="8" a="1"/>
  <c r="A53" i="8" s="1"/>
  <c r="A52" i="8" a="1"/>
  <c r="A52" i="8" s="1"/>
  <c r="A51" i="8" a="1"/>
  <c r="A51" i="8" s="1"/>
  <c r="A50" i="8" a="1"/>
  <c r="A50" i="8" s="1"/>
  <c r="A49" i="8" a="1"/>
  <c r="A49" i="8" s="1"/>
  <c r="A48" i="8" a="1"/>
  <c r="A48" i="8" s="1"/>
  <c r="A47" i="8" a="1"/>
  <c r="A47" i="8" s="1"/>
  <c r="A46" i="8" a="1"/>
  <c r="A46" i="8" s="1"/>
  <c r="A45" i="8" a="1"/>
  <c r="A45" i="8" s="1"/>
  <c r="A44" i="8" a="1"/>
  <c r="A44" i="8" s="1"/>
  <c r="A43" i="8" a="1"/>
  <c r="A43" i="8" s="1"/>
  <c r="A42" i="8" a="1"/>
  <c r="A42" i="8" s="1"/>
  <c r="A41" i="8" a="1"/>
  <c r="A41" i="8" s="1"/>
  <c r="A40" i="8" a="1"/>
  <c r="A40" i="8" s="1"/>
  <c r="A39" i="8" a="1"/>
  <c r="A39" i="8" s="1"/>
  <c r="A38" i="8" a="1"/>
  <c r="A38" i="8" s="1"/>
  <c r="A37" i="8" a="1"/>
  <c r="A37" i="8" s="1"/>
  <c r="A36" i="8" a="1"/>
  <c r="A36" i="8" s="1"/>
  <c r="A35" i="8" a="1"/>
  <c r="A35" i="8" s="1"/>
  <c r="A34" i="8" a="1"/>
  <c r="A34" i="8" s="1"/>
  <c r="A33" i="8" a="1"/>
  <c r="A33" i="8" s="1"/>
  <c r="A32" i="8" a="1"/>
  <c r="A32" i="8" s="1"/>
  <c r="A31" i="8" a="1"/>
  <c r="A31" i="8" s="1"/>
  <c r="A30" i="8" a="1"/>
  <c r="A30" i="8" s="1"/>
  <c r="A29" i="8" a="1"/>
  <c r="A29" i="8" s="1"/>
  <c r="A28" i="8" a="1"/>
  <c r="A28" i="8" s="1"/>
  <c r="A27" i="8" a="1"/>
  <c r="A27" i="8" s="1"/>
  <c r="A26" i="8" a="1"/>
  <c r="A26" i="8" s="1"/>
  <c r="A25" i="8" a="1"/>
  <c r="A25" i="8" s="1"/>
  <c r="A24" i="8" a="1"/>
  <c r="A24" i="8" s="1"/>
  <c r="A23" i="8" a="1"/>
  <c r="A23" i="8" s="1"/>
  <c r="A22" i="8" a="1"/>
  <c r="A22" i="8" s="1"/>
  <c r="A21" i="8" a="1"/>
  <c r="A21" i="8" s="1"/>
  <c r="A20" i="8" a="1"/>
  <c r="A20" i="8" s="1"/>
  <c r="A19" i="8" a="1"/>
  <c r="A19" i="8" s="1"/>
  <c r="A18" i="8" a="1"/>
  <c r="A18" i="8" s="1"/>
  <c r="A17" i="8" a="1"/>
  <c r="A17" i="8" s="1"/>
  <c r="A16" i="8" a="1"/>
  <c r="A16" i="8" s="1"/>
  <c r="A15" i="8" a="1"/>
  <c r="A15" i="8" s="1"/>
  <c r="A14" i="8" a="1"/>
  <c r="A14" i="8" s="1"/>
  <c r="A13" i="8" a="1"/>
  <c r="A13" i="8" s="1"/>
  <c r="A12" i="8" a="1"/>
  <c r="A12" i="8" s="1"/>
  <c r="A11" i="8" a="1"/>
  <c r="A11" i="8" s="1"/>
  <c r="A10" i="8" a="1"/>
  <c r="A10" i="8" s="1"/>
  <c r="A9" i="8" a="1"/>
  <c r="A9" i="8" s="1"/>
  <c r="A8" i="8" a="1"/>
  <c r="A8" i="8" s="1"/>
  <c r="A7" i="8" a="1"/>
  <c r="A7" i="8" s="1"/>
  <c r="A6" i="8" a="1"/>
  <c r="A6" i="8" s="1"/>
  <c r="A5" i="8" a="1"/>
  <c r="A5" i="8" s="1"/>
  <c r="A4" i="8" a="1"/>
  <c r="A4" i="8" s="1"/>
  <c r="A3" i="8" a="1"/>
  <c r="A3" i="8" s="1"/>
  <c r="A2" i="8" a="1"/>
  <c r="A2" i="8" s="1"/>
  <c r="A1" i="8" a="1"/>
  <c r="A1" i="8" s="1"/>
  <c r="H114" i="6"/>
  <c r="F114" i="6"/>
  <c r="C114" i="6"/>
  <c r="H113" i="6"/>
  <c r="F113" i="6"/>
  <c r="C113" i="6"/>
  <c r="H112" i="6"/>
  <c r="F112" i="6"/>
  <c r="C112" i="6"/>
  <c r="H111" i="6"/>
  <c r="F111" i="6"/>
  <c r="C111" i="6"/>
  <c r="H110" i="6"/>
  <c r="F110" i="6"/>
  <c r="C110" i="6"/>
  <c r="H109" i="6"/>
  <c r="F109" i="6"/>
  <c r="C109" i="6"/>
  <c r="L108" i="6"/>
  <c r="K108" i="6"/>
  <c r="J108" i="6"/>
  <c r="I108" i="6"/>
  <c r="H108" i="6"/>
  <c r="F108" i="6"/>
  <c r="C108" i="6"/>
  <c r="H107" i="6"/>
  <c r="F107" i="6"/>
  <c r="C107" i="6"/>
  <c r="H106" i="6"/>
  <c r="F106" i="6"/>
  <c r="C106" i="6"/>
  <c r="H105" i="6"/>
  <c r="F105" i="6"/>
  <c r="C105" i="6"/>
  <c r="H104" i="6"/>
  <c r="F104" i="6"/>
  <c r="C104" i="6"/>
  <c r="H103" i="6"/>
  <c r="F103" i="6"/>
  <c r="C103" i="6"/>
  <c r="H102" i="6"/>
  <c r="F102" i="6"/>
  <c r="C102" i="6"/>
  <c r="H101" i="6"/>
  <c r="F101" i="6"/>
  <c r="C101" i="6"/>
  <c r="H100" i="6"/>
  <c r="F100" i="6"/>
  <c r="C100" i="6"/>
  <c r="H99" i="6"/>
  <c r="F99" i="6"/>
  <c r="C99" i="6"/>
  <c r="H98" i="6"/>
  <c r="F98" i="6"/>
  <c r="C98" i="6"/>
  <c r="H97" i="6"/>
  <c r="F97" i="6"/>
  <c r="C97" i="6"/>
  <c r="H96" i="6"/>
  <c r="F96" i="6"/>
  <c r="C96" i="6"/>
  <c r="H95" i="6"/>
  <c r="F95" i="6"/>
  <c r="C95" i="6"/>
  <c r="H94" i="6"/>
  <c r="F94" i="6"/>
  <c r="C94" i="6"/>
  <c r="H93" i="6"/>
  <c r="F93" i="6"/>
  <c r="C93" i="6"/>
  <c r="H92" i="6"/>
  <c r="F92" i="6"/>
  <c r="C92" i="6"/>
  <c r="H91" i="6"/>
  <c r="F91" i="6"/>
  <c r="C91" i="6"/>
  <c r="H90" i="6"/>
  <c r="F90" i="6"/>
  <c r="C90" i="6"/>
  <c r="H89" i="6"/>
  <c r="F89" i="6"/>
  <c r="C89" i="6"/>
  <c r="H88" i="6"/>
  <c r="F88" i="6"/>
  <c r="C88" i="6"/>
  <c r="H87" i="6"/>
  <c r="F87" i="6"/>
  <c r="C87" i="6"/>
  <c r="H86" i="6"/>
  <c r="F86" i="6"/>
  <c r="C86" i="6"/>
  <c r="H85" i="6"/>
  <c r="F85" i="6"/>
  <c r="C85" i="6"/>
  <c r="H84" i="6"/>
  <c r="F84" i="6"/>
  <c r="C84" i="6"/>
  <c r="H83" i="6"/>
  <c r="F83" i="6"/>
  <c r="C83" i="6"/>
  <c r="H82" i="6"/>
  <c r="F82" i="6"/>
  <c r="C82" i="6"/>
  <c r="H81" i="6"/>
  <c r="F81" i="6"/>
  <c r="C81" i="6"/>
  <c r="H80" i="6"/>
  <c r="F80" i="6"/>
  <c r="C80" i="6"/>
  <c r="H79" i="6"/>
  <c r="F79" i="6"/>
  <c r="C79" i="6"/>
  <c r="H78" i="6"/>
  <c r="F78" i="6"/>
  <c r="C78" i="6"/>
  <c r="H77" i="6"/>
  <c r="F77" i="6"/>
  <c r="C77" i="6"/>
  <c r="H76" i="6"/>
  <c r="F76" i="6"/>
  <c r="C76" i="6"/>
  <c r="H75" i="6"/>
  <c r="F75" i="6"/>
  <c r="C75" i="6"/>
  <c r="H74" i="6"/>
  <c r="F74" i="6"/>
  <c r="C74" i="6"/>
  <c r="H73" i="6"/>
  <c r="F73" i="6"/>
  <c r="C73" i="6"/>
  <c r="L72" i="6"/>
  <c r="K72" i="6"/>
  <c r="H72" i="6"/>
  <c r="F72" i="6"/>
  <c r="C72" i="6"/>
  <c r="H71" i="6"/>
  <c r="F71" i="6"/>
  <c r="C71" i="6"/>
  <c r="H70" i="6"/>
  <c r="F70" i="6"/>
  <c r="C70" i="6"/>
  <c r="H69" i="6"/>
  <c r="F69" i="6"/>
  <c r="C69" i="6"/>
  <c r="H68" i="6"/>
  <c r="F68" i="6"/>
  <c r="C68" i="6"/>
  <c r="H67" i="6"/>
  <c r="F67" i="6"/>
  <c r="C67" i="6"/>
  <c r="H66" i="6"/>
  <c r="F66" i="6"/>
  <c r="C66" i="6"/>
  <c r="H64" i="6"/>
  <c r="F64" i="6"/>
  <c r="C64" i="6"/>
  <c r="H63" i="6"/>
  <c r="F63" i="6"/>
  <c r="C63" i="6"/>
  <c r="H62" i="6"/>
  <c r="F62" i="6"/>
  <c r="C62" i="6"/>
  <c r="H61" i="6"/>
  <c r="F61" i="6"/>
  <c r="C61" i="6"/>
  <c r="H60" i="6"/>
  <c r="F60" i="6"/>
  <c r="C60" i="6"/>
  <c r="H59" i="6"/>
  <c r="F59" i="6"/>
  <c r="C59" i="6"/>
  <c r="H58" i="6"/>
  <c r="F58" i="6"/>
  <c r="C58" i="6"/>
  <c r="H57" i="6"/>
  <c r="F57" i="6"/>
  <c r="C57" i="6"/>
  <c r="H56" i="6"/>
  <c r="F56" i="6"/>
  <c r="C56" i="6"/>
  <c r="H55" i="6"/>
  <c r="F55" i="6"/>
  <c r="C55" i="6"/>
  <c r="H54" i="6"/>
  <c r="F54" i="6"/>
  <c r="C54" i="6"/>
  <c r="H53" i="6"/>
  <c r="F53" i="6"/>
  <c r="C53" i="6"/>
  <c r="H52" i="6"/>
  <c r="F52" i="6"/>
  <c r="C52" i="6"/>
  <c r="H51" i="6"/>
  <c r="F51" i="6"/>
  <c r="C51" i="6"/>
  <c r="H50" i="6"/>
  <c r="F50" i="6"/>
  <c r="C50" i="6"/>
  <c r="H49" i="6"/>
  <c r="F49" i="6"/>
  <c r="C49" i="6"/>
  <c r="H48" i="6"/>
  <c r="F48" i="6"/>
  <c r="C48" i="6"/>
  <c r="H47" i="6"/>
  <c r="F47" i="6"/>
  <c r="C47" i="6"/>
  <c r="H46" i="6"/>
  <c r="F46" i="6"/>
  <c r="C46" i="6"/>
  <c r="H45" i="6"/>
  <c r="F45" i="6"/>
  <c r="C45" i="6"/>
  <c r="H44" i="6"/>
  <c r="F44" i="6"/>
  <c r="C44" i="6"/>
  <c r="H43" i="6"/>
  <c r="F43" i="6"/>
  <c r="C43" i="6"/>
  <c r="H42" i="6"/>
  <c r="F42" i="6"/>
  <c r="C42" i="6"/>
  <c r="H41" i="6"/>
  <c r="F41" i="6"/>
  <c r="C41" i="6"/>
  <c r="H40" i="6"/>
  <c r="F40" i="6"/>
  <c r="C40" i="6"/>
  <c r="H39" i="6"/>
  <c r="F39" i="6"/>
  <c r="C39" i="6"/>
  <c r="H38" i="6"/>
  <c r="F38" i="6"/>
  <c r="C38" i="6"/>
  <c r="H37" i="6"/>
  <c r="F37" i="6"/>
  <c r="C37" i="6"/>
  <c r="H36" i="6"/>
  <c r="F36" i="6"/>
  <c r="C36" i="6"/>
  <c r="H35" i="6"/>
  <c r="F35" i="6"/>
  <c r="C35" i="6"/>
  <c r="H34" i="6"/>
  <c r="F34" i="6"/>
  <c r="C34" i="6"/>
  <c r="H33" i="6"/>
  <c r="F33" i="6"/>
  <c r="C33" i="6"/>
  <c r="H32" i="6"/>
  <c r="F32" i="6"/>
  <c r="C32" i="6"/>
  <c r="H31" i="6"/>
  <c r="F31" i="6"/>
  <c r="C31" i="6"/>
  <c r="H30" i="6"/>
  <c r="F30" i="6"/>
  <c r="C30" i="6"/>
  <c r="H29" i="6"/>
  <c r="F29" i="6"/>
  <c r="C29" i="6"/>
  <c r="H28" i="6"/>
  <c r="F28" i="6"/>
  <c r="C28" i="6"/>
  <c r="H27" i="6"/>
  <c r="F27" i="6"/>
  <c r="C27" i="6"/>
  <c r="H26" i="6"/>
  <c r="F26" i="6"/>
  <c r="C26" i="6"/>
  <c r="H25" i="6"/>
  <c r="F25" i="6"/>
  <c r="C25" i="6"/>
  <c r="H24" i="6"/>
  <c r="F24" i="6"/>
  <c r="C24" i="6"/>
  <c r="H23" i="6"/>
  <c r="F23" i="6"/>
  <c r="C23" i="6"/>
  <c r="H22" i="6"/>
  <c r="F22" i="6"/>
  <c r="C22" i="6"/>
  <c r="H21" i="6"/>
  <c r="F21" i="6"/>
  <c r="C21" i="6"/>
  <c r="H20" i="6"/>
  <c r="F20" i="6"/>
  <c r="C20" i="6"/>
  <c r="H19" i="6"/>
  <c r="F19" i="6"/>
  <c r="C19" i="6"/>
  <c r="H18" i="6"/>
  <c r="F18" i="6"/>
  <c r="C18" i="6"/>
  <c r="H17" i="6"/>
  <c r="F17" i="6"/>
  <c r="C17" i="6"/>
  <c r="H16" i="6"/>
  <c r="F16" i="6"/>
  <c r="C16" i="6"/>
  <c r="R10" i="6"/>
  <c r="AH9" i="6"/>
  <c r="R9" i="6"/>
  <c r="T6" i="6"/>
  <c r="K6" i="6"/>
  <c r="E6" i="6"/>
  <c r="K5" i="6"/>
  <c r="E5" i="6"/>
  <c r="H114" i="5"/>
  <c r="F114" i="5"/>
  <c r="C114" i="5"/>
  <c r="H113" i="5"/>
  <c r="F113" i="5"/>
  <c r="C113" i="5"/>
  <c r="H112" i="5"/>
  <c r="F112" i="5"/>
  <c r="C112" i="5"/>
  <c r="I111" i="5"/>
  <c r="H111" i="5"/>
  <c r="F111" i="5"/>
  <c r="C111" i="5"/>
  <c r="H110" i="5"/>
  <c r="F110" i="5"/>
  <c r="C110" i="5"/>
  <c r="I109" i="5"/>
  <c r="H109" i="5"/>
  <c r="F109" i="5"/>
  <c r="C109" i="5"/>
  <c r="H108" i="5"/>
  <c r="F108" i="5"/>
  <c r="C108" i="5"/>
  <c r="H107" i="5"/>
  <c r="F107" i="5"/>
  <c r="C107" i="5"/>
  <c r="H106" i="5"/>
  <c r="F106" i="5"/>
  <c r="C106" i="5"/>
  <c r="H105" i="5"/>
  <c r="F105" i="5"/>
  <c r="C105" i="5"/>
  <c r="H104" i="5"/>
  <c r="F104" i="5"/>
  <c r="C104" i="5"/>
  <c r="H103" i="5"/>
  <c r="F103" i="5"/>
  <c r="C103" i="5"/>
  <c r="H102" i="5"/>
  <c r="F102" i="5"/>
  <c r="C102" i="5"/>
  <c r="H101" i="5"/>
  <c r="F101" i="5"/>
  <c r="C101" i="5"/>
  <c r="L100" i="5"/>
  <c r="K100" i="5"/>
  <c r="J100" i="5"/>
  <c r="I100" i="5"/>
  <c r="H100" i="5"/>
  <c r="F100" i="5"/>
  <c r="C100" i="5"/>
  <c r="H99" i="5"/>
  <c r="F99" i="5"/>
  <c r="C99" i="5"/>
  <c r="H98" i="5"/>
  <c r="F98" i="5"/>
  <c r="C98" i="5"/>
  <c r="H97" i="5"/>
  <c r="F97" i="5"/>
  <c r="C97" i="5"/>
  <c r="H96" i="5"/>
  <c r="F96" i="5"/>
  <c r="C96" i="5"/>
  <c r="H95" i="5"/>
  <c r="F95" i="5"/>
  <c r="C95" i="5"/>
  <c r="H94" i="5"/>
  <c r="F94" i="5"/>
  <c r="C94" i="5"/>
  <c r="H93" i="5"/>
  <c r="F93" i="5"/>
  <c r="C93" i="5"/>
  <c r="H92" i="5"/>
  <c r="F92" i="5"/>
  <c r="C92" i="5"/>
  <c r="H91" i="5"/>
  <c r="F91" i="5"/>
  <c r="C91" i="5"/>
  <c r="H90" i="5"/>
  <c r="F90" i="5"/>
  <c r="C90" i="5"/>
  <c r="H89" i="5"/>
  <c r="F89" i="5"/>
  <c r="C89" i="5"/>
  <c r="H88" i="5"/>
  <c r="F88" i="5"/>
  <c r="C88" i="5"/>
  <c r="H87" i="5"/>
  <c r="F87" i="5"/>
  <c r="C87" i="5"/>
  <c r="H86" i="5"/>
  <c r="F86" i="5"/>
  <c r="C86" i="5"/>
  <c r="H85" i="5"/>
  <c r="F85" i="5"/>
  <c r="C85" i="5"/>
  <c r="H84" i="5"/>
  <c r="F84" i="5"/>
  <c r="C84" i="5"/>
  <c r="H83" i="5"/>
  <c r="F83" i="5"/>
  <c r="C83" i="5"/>
  <c r="H82" i="5"/>
  <c r="F82" i="5"/>
  <c r="C82" i="5"/>
  <c r="H81" i="5"/>
  <c r="F81" i="5"/>
  <c r="C81" i="5"/>
  <c r="H80" i="5"/>
  <c r="F80" i="5"/>
  <c r="C80" i="5"/>
  <c r="H79" i="5"/>
  <c r="F79" i="5"/>
  <c r="C79" i="5"/>
  <c r="H78" i="5"/>
  <c r="F78" i="5"/>
  <c r="C78" i="5"/>
  <c r="H77" i="5"/>
  <c r="F77" i="5"/>
  <c r="C77" i="5"/>
  <c r="H76" i="5"/>
  <c r="F76" i="5"/>
  <c r="C76" i="5"/>
  <c r="H75" i="5"/>
  <c r="F75" i="5"/>
  <c r="C75" i="5"/>
  <c r="H74" i="5"/>
  <c r="F74" i="5"/>
  <c r="C74" i="5"/>
  <c r="H73" i="5"/>
  <c r="F73" i="5"/>
  <c r="C73" i="5"/>
  <c r="H72" i="5"/>
  <c r="F72" i="5"/>
  <c r="C72" i="5"/>
  <c r="H71" i="5"/>
  <c r="F71" i="5"/>
  <c r="C71" i="5"/>
  <c r="H70" i="5"/>
  <c r="F70" i="5"/>
  <c r="C70" i="5"/>
  <c r="H69" i="5"/>
  <c r="F69" i="5"/>
  <c r="C69" i="5"/>
  <c r="H68" i="5"/>
  <c r="F68" i="5"/>
  <c r="C68" i="5"/>
  <c r="H67" i="5"/>
  <c r="F67" i="5"/>
  <c r="C67" i="5"/>
  <c r="H66" i="5"/>
  <c r="F66" i="5"/>
  <c r="C66" i="5"/>
  <c r="H64" i="5"/>
  <c r="F64" i="5"/>
  <c r="C64" i="5"/>
  <c r="L63" i="5"/>
  <c r="K63" i="5"/>
  <c r="H63" i="5"/>
  <c r="F63" i="5"/>
  <c r="C63" i="5"/>
  <c r="H62" i="5"/>
  <c r="F62" i="5"/>
  <c r="C62" i="5"/>
  <c r="H61" i="5"/>
  <c r="F61" i="5"/>
  <c r="C61" i="5"/>
  <c r="H60" i="5"/>
  <c r="F60" i="5"/>
  <c r="C60" i="5"/>
  <c r="H59" i="5"/>
  <c r="F59" i="5"/>
  <c r="C59" i="5"/>
  <c r="H58" i="5"/>
  <c r="F58" i="5"/>
  <c r="C58" i="5"/>
  <c r="H57" i="5"/>
  <c r="F57" i="5"/>
  <c r="C57" i="5"/>
  <c r="H56" i="5"/>
  <c r="F56" i="5"/>
  <c r="C56" i="5"/>
  <c r="H55" i="5"/>
  <c r="F55" i="5"/>
  <c r="C55" i="5"/>
  <c r="H54" i="5"/>
  <c r="F54" i="5"/>
  <c r="C54" i="5"/>
  <c r="H53" i="5"/>
  <c r="F53" i="5"/>
  <c r="C53" i="5"/>
  <c r="H52" i="5"/>
  <c r="F52" i="5"/>
  <c r="C52" i="5"/>
  <c r="H51" i="5"/>
  <c r="F51" i="5"/>
  <c r="C51" i="5"/>
  <c r="H50" i="5"/>
  <c r="F50" i="5"/>
  <c r="C50" i="5"/>
  <c r="H49" i="5"/>
  <c r="F49" i="5"/>
  <c r="C49" i="5"/>
  <c r="H48" i="5"/>
  <c r="F48" i="5"/>
  <c r="C48" i="5"/>
  <c r="H47" i="5"/>
  <c r="F47" i="5"/>
  <c r="C47" i="5"/>
  <c r="H46" i="5"/>
  <c r="F46" i="5"/>
  <c r="C46" i="5"/>
  <c r="H45" i="5"/>
  <c r="F45" i="5"/>
  <c r="C45" i="5"/>
  <c r="H44" i="5"/>
  <c r="F44" i="5"/>
  <c r="C44" i="5"/>
  <c r="H43" i="5"/>
  <c r="F43" i="5"/>
  <c r="C43" i="5"/>
  <c r="H42" i="5"/>
  <c r="F42" i="5"/>
  <c r="C42" i="5"/>
  <c r="H41" i="5"/>
  <c r="F41" i="5"/>
  <c r="C41" i="5"/>
  <c r="H40" i="5"/>
  <c r="F40" i="5"/>
  <c r="C40" i="5"/>
  <c r="H39" i="5"/>
  <c r="F39" i="5"/>
  <c r="C39" i="5"/>
  <c r="H38" i="5"/>
  <c r="F38" i="5"/>
  <c r="C38" i="5"/>
  <c r="H37" i="5"/>
  <c r="F37" i="5"/>
  <c r="C37" i="5"/>
  <c r="H36" i="5"/>
  <c r="F36" i="5"/>
  <c r="C36" i="5"/>
  <c r="H35" i="5"/>
  <c r="F35" i="5"/>
  <c r="C35" i="5"/>
  <c r="H34" i="5"/>
  <c r="F34" i="5"/>
  <c r="C34" i="5"/>
  <c r="H33" i="5"/>
  <c r="F33" i="5"/>
  <c r="C33" i="5"/>
  <c r="H32" i="5"/>
  <c r="F32" i="5"/>
  <c r="C32" i="5"/>
  <c r="H31" i="5"/>
  <c r="F31" i="5"/>
  <c r="C31" i="5"/>
  <c r="H30" i="5"/>
  <c r="F30" i="5"/>
  <c r="C30" i="5"/>
  <c r="H29" i="5"/>
  <c r="F29" i="5"/>
  <c r="C29" i="5"/>
  <c r="H28" i="5"/>
  <c r="F28" i="5"/>
  <c r="C28" i="5"/>
  <c r="H27" i="5"/>
  <c r="F27" i="5"/>
  <c r="C27" i="5"/>
  <c r="H26" i="5"/>
  <c r="F26" i="5"/>
  <c r="C26" i="5"/>
  <c r="H25" i="5"/>
  <c r="F25" i="5"/>
  <c r="C25" i="5"/>
  <c r="H24" i="5"/>
  <c r="F24" i="5"/>
  <c r="C24" i="5"/>
  <c r="H23" i="5"/>
  <c r="F23" i="5"/>
  <c r="C23" i="5"/>
  <c r="H22" i="5"/>
  <c r="F22" i="5"/>
  <c r="C22" i="5"/>
  <c r="H21" i="5"/>
  <c r="F21" i="5"/>
  <c r="C21" i="5"/>
  <c r="H20" i="5"/>
  <c r="F20" i="5"/>
  <c r="C20" i="5"/>
  <c r="H19" i="5"/>
  <c r="F19" i="5"/>
  <c r="C19" i="5"/>
  <c r="H18" i="5"/>
  <c r="F18" i="5"/>
  <c r="C18" i="5"/>
  <c r="H17" i="5"/>
  <c r="F17" i="5"/>
  <c r="C17" i="5"/>
  <c r="H16" i="5"/>
  <c r="F16" i="5"/>
  <c r="C16" i="5"/>
  <c r="R10" i="5"/>
  <c r="AH9" i="5"/>
  <c r="R9" i="5"/>
  <c r="T6" i="5"/>
  <c r="K6" i="5"/>
  <c r="E6" i="5"/>
  <c r="K5" i="5"/>
  <c r="E5" i="5"/>
  <c r="H114" i="4"/>
  <c r="F114" i="4"/>
  <c r="C114" i="4"/>
  <c r="H113" i="4"/>
  <c r="F113" i="4"/>
  <c r="C113" i="4"/>
  <c r="H112" i="4"/>
  <c r="F112" i="4"/>
  <c r="C112" i="4"/>
  <c r="H111" i="4"/>
  <c r="F111" i="4"/>
  <c r="C111" i="4"/>
  <c r="H110" i="4"/>
  <c r="F110" i="4"/>
  <c r="C110" i="4"/>
  <c r="H109" i="4"/>
  <c r="F109" i="4"/>
  <c r="C109" i="4"/>
  <c r="H108" i="4"/>
  <c r="F108" i="4"/>
  <c r="C108" i="4"/>
  <c r="H107" i="4"/>
  <c r="F107" i="4"/>
  <c r="C107" i="4"/>
  <c r="H106" i="4"/>
  <c r="F106" i="4"/>
  <c r="C106" i="4"/>
  <c r="H105" i="4"/>
  <c r="F105" i="4"/>
  <c r="C105" i="4"/>
  <c r="H104" i="4"/>
  <c r="F104" i="4"/>
  <c r="C104" i="4"/>
  <c r="H103" i="4"/>
  <c r="F103" i="4"/>
  <c r="C103" i="4"/>
  <c r="H102" i="4"/>
  <c r="F102" i="4"/>
  <c r="C102" i="4"/>
  <c r="H101" i="4"/>
  <c r="F101" i="4"/>
  <c r="C101" i="4"/>
  <c r="H100" i="4"/>
  <c r="F100" i="4"/>
  <c r="C100" i="4"/>
  <c r="H99" i="4"/>
  <c r="F99" i="4"/>
  <c r="C99" i="4"/>
  <c r="H98" i="4"/>
  <c r="F98" i="4"/>
  <c r="C98" i="4"/>
  <c r="H97" i="4"/>
  <c r="F97" i="4"/>
  <c r="C97" i="4"/>
  <c r="H96" i="4"/>
  <c r="F96" i="4"/>
  <c r="C96" i="4"/>
  <c r="H95" i="4"/>
  <c r="F95" i="4"/>
  <c r="C95" i="4"/>
  <c r="H94" i="4"/>
  <c r="F94" i="4"/>
  <c r="C94" i="4"/>
  <c r="H93" i="4"/>
  <c r="F93" i="4"/>
  <c r="C93" i="4"/>
  <c r="L92" i="4"/>
  <c r="K92" i="4"/>
  <c r="J92" i="4"/>
  <c r="I92" i="4"/>
  <c r="H92" i="4"/>
  <c r="F92" i="4"/>
  <c r="C92" i="4"/>
  <c r="H91" i="4"/>
  <c r="F91" i="4"/>
  <c r="C91" i="4"/>
  <c r="H90" i="4"/>
  <c r="F90" i="4"/>
  <c r="C90" i="4"/>
  <c r="H89" i="4"/>
  <c r="F89" i="4"/>
  <c r="C89" i="4"/>
  <c r="H88" i="4"/>
  <c r="F88" i="4"/>
  <c r="C88" i="4"/>
  <c r="H87" i="4"/>
  <c r="F87" i="4"/>
  <c r="C87" i="4"/>
  <c r="H86" i="4"/>
  <c r="F86" i="4"/>
  <c r="C86" i="4"/>
  <c r="H85" i="4"/>
  <c r="F85" i="4"/>
  <c r="C85" i="4"/>
  <c r="H84" i="4"/>
  <c r="F84" i="4"/>
  <c r="C84" i="4"/>
  <c r="H83" i="4"/>
  <c r="F83" i="4"/>
  <c r="C83" i="4"/>
  <c r="H82" i="4"/>
  <c r="F82" i="4"/>
  <c r="C82" i="4"/>
  <c r="H81" i="4"/>
  <c r="F81" i="4"/>
  <c r="C81" i="4"/>
  <c r="H80" i="4"/>
  <c r="F80" i="4"/>
  <c r="C80" i="4"/>
  <c r="H79" i="4"/>
  <c r="F79" i="4"/>
  <c r="C79" i="4"/>
  <c r="H78" i="4"/>
  <c r="F78" i="4"/>
  <c r="C78" i="4"/>
  <c r="H77" i="4"/>
  <c r="F77" i="4"/>
  <c r="C77" i="4"/>
  <c r="H76" i="4"/>
  <c r="F76" i="4"/>
  <c r="C76" i="4"/>
  <c r="H75" i="4"/>
  <c r="F75" i="4"/>
  <c r="C75" i="4"/>
  <c r="H74" i="4"/>
  <c r="F74" i="4"/>
  <c r="C74" i="4"/>
  <c r="H73" i="4"/>
  <c r="F73" i="4"/>
  <c r="C73" i="4"/>
  <c r="H72" i="4"/>
  <c r="F72" i="4"/>
  <c r="C72" i="4"/>
  <c r="H71" i="4"/>
  <c r="F71" i="4"/>
  <c r="C71" i="4"/>
  <c r="H70" i="4"/>
  <c r="F70" i="4"/>
  <c r="C70" i="4"/>
  <c r="H69" i="4"/>
  <c r="F69" i="4"/>
  <c r="C69" i="4"/>
  <c r="H68" i="4"/>
  <c r="F68" i="4"/>
  <c r="C68" i="4"/>
  <c r="H67" i="4"/>
  <c r="F67" i="4"/>
  <c r="C67" i="4"/>
  <c r="H66" i="4"/>
  <c r="F66" i="4"/>
  <c r="C66" i="4"/>
  <c r="H64" i="4"/>
  <c r="F64" i="4"/>
  <c r="C64" i="4"/>
  <c r="H63" i="4"/>
  <c r="F63" i="4"/>
  <c r="C63" i="4"/>
  <c r="H62" i="4"/>
  <c r="F62" i="4"/>
  <c r="C62" i="4"/>
  <c r="H61" i="4"/>
  <c r="F61" i="4"/>
  <c r="C61" i="4"/>
  <c r="H60" i="4"/>
  <c r="F60" i="4"/>
  <c r="C60" i="4"/>
  <c r="H59" i="4"/>
  <c r="F59" i="4"/>
  <c r="C59" i="4"/>
  <c r="H58" i="4"/>
  <c r="F58" i="4"/>
  <c r="C58" i="4"/>
  <c r="H57" i="4"/>
  <c r="F57" i="4"/>
  <c r="C57" i="4"/>
  <c r="H56" i="4"/>
  <c r="F56" i="4"/>
  <c r="C56" i="4"/>
  <c r="L55" i="4"/>
  <c r="K55" i="4"/>
  <c r="H55" i="4"/>
  <c r="F55" i="4"/>
  <c r="C55" i="4"/>
  <c r="H54" i="4"/>
  <c r="F54" i="4"/>
  <c r="C54" i="4"/>
  <c r="H53" i="4"/>
  <c r="F53" i="4"/>
  <c r="C53" i="4"/>
  <c r="H52" i="4"/>
  <c r="F52" i="4"/>
  <c r="C52" i="4"/>
  <c r="H51" i="4"/>
  <c r="F51" i="4"/>
  <c r="C51" i="4"/>
  <c r="H50" i="4"/>
  <c r="F50" i="4"/>
  <c r="C50" i="4"/>
  <c r="H49" i="4"/>
  <c r="F49" i="4"/>
  <c r="C49" i="4"/>
  <c r="H48" i="4"/>
  <c r="F48" i="4"/>
  <c r="C48" i="4"/>
  <c r="H47" i="4"/>
  <c r="F47" i="4"/>
  <c r="C47" i="4"/>
  <c r="H46" i="4"/>
  <c r="F46" i="4"/>
  <c r="C46" i="4"/>
  <c r="H45" i="4"/>
  <c r="F45" i="4"/>
  <c r="C45" i="4"/>
  <c r="H44" i="4"/>
  <c r="F44" i="4"/>
  <c r="C44" i="4"/>
  <c r="H43" i="4"/>
  <c r="F43" i="4"/>
  <c r="C43" i="4"/>
  <c r="H42" i="4"/>
  <c r="F42" i="4"/>
  <c r="C42" i="4"/>
  <c r="H41" i="4"/>
  <c r="F41" i="4"/>
  <c r="C41" i="4"/>
  <c r="H40" i="4"/>
  <c r="F40" i="4"/>
  <c r="C40" i="4"/>
  <c r="H39" i="4"/>
  <c r="F39" i="4"/>
  <c r="C39" i="4"/>
  <c r="H38" i="4"/>
  <c r="F38" i="4"/>
  <c r="C38" i="4"/>
  <c r="H37" i="4"/>
  <c r="F37" i="4"/>
  <c r="C37" i="4"/>
  <c r="H36" i="4"/>
  <c r="F36" i="4"/>
  <c r="C36" i="4"/>
  <c r="H35" i="4"/>
  <c r="F35" i="4"/>
  <c r="C35" i="4"/>
  <c r="H34" i="4"/>
  <c r="F34" i="4"/>
  <c r="C34" i="4"/>
  <c r="H33" i="4"/>
  <c r="F33" i="4"/>
  <c r="C33" i="4"/>
  <c r="H32" i="4"/>
  <c r="F32" i="4"/>
  <c r="C32" i="4"/>
  <c r="H31" i="4"/>
  <c r="F31" i="4"/>
  <c r="C31" i="4"/>
  <c r="I30" i="4"/>
  <c r="H30" i="4"/>
  <c r="F30" i="4"/>
  <c r="C30" i="4"/>
  <c r="H29" i="4"/>
  <c r="F29" i="4"/>
  <c r="C29" i="4"/>
  <c r="H28" i="4"/>
  <c r="F28" i="4"/>
  <c r="C28" i="4"/>
  <c r="H27" i="4"/>
  <c r="F27" i="4"/>
  <c r="C27" i="4"/>
  <c r="H26" i="4"/>
  <c r="F26" i="4"/>
  <c r="C26" i="4"/>
  <c r="H25" i="4"/>
  <c r="F25" i="4"/>
  <c r="C25" i="4"/>
  <c r="H24" i="4"/>
  <c r="F24" i="4"/>
  <c r="C24" i="4"/>
  <c r="H23" i="4"/>
  <c r="F23" i="4"/>
  <c r="C23" i="4"/>
  <c r="H22" i="4"/>
  <c r="F22" i="4"/>
  <c r="C22" i="4"/>
  <c r="H21" i="4"/>
  <c r="F21" i="4"/>
  <c r="C21" i="4"/>
  <c r="H20" i="4"/>
  <c r="F20" i="4"/>
  <c r="C20" i="4"/>
  <c r="H19" i="4"/>
  <c r="F19" i="4"/>
  <c r="C19" i="4"/>
  <c r="H18" i="4"/>
  <c r="F18" i="4"/>
  <c r="C18" i="4"/>
  <c r="H17" i="4"/>
  <c r="F17" i="4"/>
  <c r="C17" i="4"/>
  <c r="H16" i="4"/>
  <c r="F16" i="4"/>
  <c r="C16" i="4"/>
  <c r="R10" i="4"/>
  <c r="AH9" i="4"/>
  <c r="R9" i="4"/>
  <c r="T6" i="4"/>
  <c r="K6" i="4"/>
  <c r="E6" i="4"/>
  <c r="K5" i="4"/>
  <c r="E5" i="4"/>
  <c r="L114" i="6" l="1"/>
  <c r="J114" i="6"/>
  <c r="I114" i="6"/>
  <c r="K114" i="6"/>
  <c r="J113" i="6"/>
  <c r="I113" i="6"/>
  <c r="L113" i="6"/>
  <c r="K113" i="6"/>
  <c r="K112" i="6"/>
  <c r="I112" i="6"/>
  <c r="J112" i="6"/>
  <c r="L112" i="6"/>
  <c r="K111" i="6"/>
  <c r="J111" i="6"/>
  <c r="I111" i="6"/>
  <c r="L111" i="6"/>
  <c r="L110" i="6"/>
  <c r="J110" i="6"/>
  <c r="I110" i="6"/>
  <c r="K110" i="6"/>
  <c r="J109" i="6"/>
  <c r="L109" i="6"/>
  <c r="I109" i="6"/>
  <c r="K109" i="6"/>
  <c r="I107" i="6"/>
  <c r="J107" i="6"/>
  <c r="K107" i="6"/>
  <c r="L107" i="6"/>
  <c r="I106" i="6"/>
  <c r="J106" i="6"/>
  <c r="K106" i="6"/>
  <c r="L106" i="6"/>
  <c r="J105" i="6"/>
  <c r="I105" i="6"/>
  <c r="L105" i="6"/>
  <c r="K105" i="6"/>
  <c r="K104" i="6"/>
  <c r="J104" i="6"/>
  <c r="I104" i="6"/>
  <c r="L104" i="6"/>
  <c r="L103" i="6"/>
  <c r="K103" i="6"/>
  <c r="J103" i="6"/>
  <c r="I103" i="6"/>
  <c r="L102" i="6"/>
  <c r="K102" i="6"/>
  <c r="J102" i="6"/>
  <c r="I102" i="6"/>
  <c r="L101" i="6"/>
  <c r="I101" i="6"/>
  <c r="J101" i="6"/>
  <c r="K101" i="6"/>
  <c r="I100" i="6"/>
  <c r="J100" i="6"/>
  <c r="K100" i="6"/>
  <c r="L100" i="6"/>
  <c r="K99" i="6"/>
  <c r="L99" i="6"/>
  <c r="I99" i="6"/>
  <c r="J99" i="6"/>
  <c r="I98" i="6"/>
  <c r="J98" i="6"/>
  <c r="K98" i="6"/>
  <c r="L98" i="6"/>
  <c r="J97" i="6"/>
  <c r="K97" i="6"/>
  <c r="L97" i="6"/>
  <c r="I97" i="6"/>
  <c r="L96" i="6"/>
  <c r="J96" i="6"/>
  <c r="I96" i="6"/>
  <c r="K96" i="6"/>
  <c r="L95" i="6"/>
  <c r="K95" i="6"/>
  <c r="I95" i="6"/>
  <c r="J95" i="6"/>
  <c r="L94" i="6"/>
  <c r="K94" i="6"/>
  <c r="J94" i="6"/>
  <c r="I94" i="6"/>
  <c r="J93" i="6"/>
  <c r="I93" i="6"/>
  <c r="L93" i="6"/>
  <c r="K93" i="6"/>
  <c r="J92" i="6"/>
  <c r="K92" i="6"/>
  <c r="I92" i="6"/>
  <c r="L92" i="6"/>
  <c r="I91" i="6"/>
  <c r="J91" i="6"/>
  <c r="K91" i="6"/>
  <c r="L91" i="6"/>
  <c r="L90" i="6"/>
  <c r="K90" i="6"/>
  <c r="J90" i="6"/>
  <c r="I90" i="6"/>
  <c r="J89" i="6"/>
  <c r="I89" i="6"/>
  <c r="L89" i="6"/>
  <c r="K89" i="6"/>
  <c r="I88" i="6"/>
  <c r="J88" i="6"/>
  <c r="K88" i="6"/>
  <c r="L88" i="6"/>
  <c r="L87" i="6"/>
  <c r="K87" i="6"/>
  <c r="J87" i="6"/>
  <c r="I87" i="6"/>
  <c r="J86" i="6"/>
  <c r="I86" i="6"/>
  <c r="K86" i="6"/>
  <c r="L86" i="6"/>
  <c r="I85" i="6"/>
  <c r="K85" i="6"/>
  <c r="L85" i="6"/>
  <c r="J85" i="6"/>
  <c r="K84" i="6"/>
  <c r="L84" i="6"/>
  <c r="I84" i="6"/>
  <c r="J84" i="6"/>
  <c r="J83" i="6"/>
  <c r="K83" i="6"/>
  <c r="L83" i="6"/>
  <c r="I83" i="6"/>
  <c r="L82" i="6"/>
  <c r="J82" i="6"/>
  <c r="K82" i="6"/>
  <c r="I82" i="6"/>
  <c r="I81" i="6"/>
  <c r="J81" i="6"/>
  <c r="K81" i="6"/>
  <c r="L81" i="6"/>
  <c r="I80" i="6"/>
  <c r="J80" i="6"/>
  <c r="K80" i="6"/>
  <c r="L80" i="6"/>
  <c r="I79" i="6"/>
  <c r="J79" i="6"/>
  <c r="K79" i="6"/>
  <c r="L79" i="6"/>
  <c r="L78" i="6"/>
  <c r="J78" i="6"/>
  <c r="I78" i="6"/>
  <c r="K78" i="6"/>
  <c r="L77" i="6"/>
  <c r="K77" i="6"/>
  <c r="J77" i="6"/>
  <c r="I77" i="6"/>
  <c r="L76" i="6"/>
  <c r="K76" i="6"/>
  <c r="J76" i="6"/>
  <c r="I76" i="6"/>
  <c r="J75" i="6"/>
  <c r="L75" i="6"/>
  <c r="K75" i="6"/>
  <c r="I75" i="6"/>
  <c r="I74" i="6"/>
  <c r="J74" i="6"/>
  <c r="K74" i="6"/>
  <c r="L74" i="6"/>
  <c r="L73" i="6"/>
  <c r="I73" i="6"/>
  <c r="J73" i="6"/>
  <c r="K73" i="6"/>
  <c r="I72" i="6"/>
  <c r="J72" i="6"/>
  <c r="I71" i="6"/>
  <c r="J71" i="6"/>
  <c r="K71" i="6"/>
  <c r="L71" i="6"/>
  <c r="J70" i="6"/>
  <c r="K70" i="6"/>
  <c r="L70" i="6"/>
  <c r="I70" i="6"/>
  <c r="K69" i="6"/>
  <c r="I69" i="6"/>
  <c r="J69" i="6"/>
  <c r="L69" i="6"/>
  <c r="L68" i="6"/>
  <c r="K68" i="6"/>
  <c r="J68" i="6"/>
  <c r="I68" i="6"/>
  <c r="I67" i="6"/>
  <c r="J67" i="6"/>
  <c r="K67" i="6"/>
  <c r="L67" i="6"/>
  <c r="I66" i="6"/>
  <c r="J66" i="6"/>
  <c r="K66" i="6"/>
  <c r="L66" i="6"/>
  <c r="I64" i="6"/>
  <c r="J64" i="6"/>
  <c r="K64" i="6"/>
  <c r="L64" i="6"/>
  <c r="K63" i="6"/>
  <c r="L63" i="6"/>
  <c r="I63" i="6"/>
  <c r="J63" i="6"/>
  <c r="I62" i="6"/>
  <c r="K62" i="6"/>
  <c r="L62" i="6"/>
  <c r="J62" i="6"/>
  <c r="I61" i="6"/>
  <c r="J61" i="6"/>
  <c r="K61" i="6"/>
  <c r="L61" i="6"/>
  <c r="I60" i="6"/>
  <c r="J60" i="6"/>
  <c r="K60" i="6"/>
  <c r="L60" i="6"/>
  <c r="I59" i="6"/>
  <c r="J59" i="6"/>
  <c r="K59" i="6"/>
  <c r="L59" i="6"/>
  <c r="I58" i="6"/>
  <c r="J58" i="6"/>
  <c r="K58" i="6"/>
  <c r="L58" i="6"/>
  <c r="K57" i="6"/>
  <c r="I57" i="6"/>
  <c r="L57" i="6"/>
  <c r="J57" i="6"/>
  <c r="L56" i="6"/>
  <c r="K56" i="6"/>
  <c r="J56" i="6"/>
  <c r="I56" i="6"/>
  <c r="L55" i="6"/>
  <c r="K55" i="6"/>
  <c r="J55" i="6"/>
  <c r="I55" i="6"/>
  <c r="L54" i="6"/>
  <c r="K54" i="6"/>
  <c r="J54" i="6"/>
  <c r="I54" i="6"/>
  <c r="I53" i="6"/>
  <c r="L53" i="6"/>
  <c r="K53" i="6"/>
  <c r="J53" i="6"/>
  <c r="K52" i="6"/>
  <c r="L52" i="6"/>
  <c r="I52" i="6"/>
  <c r="J52" i="6"/>
  <c r="I51" i="6"/>
  <c r="J51" i="6"/>
  <c r="K51" i="6"/>
  <c r="L51" i="6"/>
  <c r="I50" i="6"/>
  <c r="L50" i="6"/>
  <c r="K50" i="6"/>
  <c r="J50" i="6"/>
  <c r="I49" i="6"/>
  <c r="J49" i="6"/>
  <c r="K49" i="6"/>
  <c r="L49" i="6"/>
  <c r="L48" i="6"/>
  <c r="K48" i="6"/>
  <c r="J48" i="6"/>
  <c r="I48" i="6"/>
  <c r="L47" i="6"/>
  <c r="K47" i="6"/>
  <c r="J47" i="6"/>
  <c r="I47" i="6"/>
  <c r="K46" i="6"/>
  <c r="J46" i="6"/>
  <c r="I46" i="6"/>
  <c r="L46" i="6"/>
  <c r="L45" i="6"/>
  <c r="K45" i="6"/>
  <c r="J45" i="6"/>
  <c r="I45" i="6"/>
  <c r="L44" i="6"/>
  <c r="K44" i="6"/>
  <c r="J44" i="6"/>
  <c r="I44" i="6"/>
  <c r="J43" i="6"/>
  <c r="L43" i="6"/>
  <c r="K43" i="6"/>
  <c r="I43" i="6"/>
  <c r="L42" i="6"/>
  <c r="K42" i="6"/>
  <c r="J42" i="6"/>
  <c r="I42" i="6"/>
  <c r="J41" i="6"/>
  <c r="L41" i="6"/>
  <c r="I41" i="6"/>
  <c r="K41" i="6"/>
  <c r="K40" i="6"/>
  <c r="I40" i="6"/>
  <c r="J40" i="6"/>
  <c r="L40" i="6"/>
  <c r="L39" i="6"/>
  <c r="K39" i="6"/>
  <c r="I39" i="6"/>
  <c r="J39" i="6"/>
  <c r="L38" i="6"/>
  <c r="J38" i="6"/>
  <c r="I38" i="6"/>
  <c r="K38" i="6"/>
  <c r="J37" i="6"/>
  <c r="I37" i="6"/>
  <c r="K37" i="6"/>
  <c r="L37" i="6"/>
  <c r="I36" i="6"/>
  <c r="L36" i="6"/>
  <c r="K36" i="6"/>
  <c r="J36" i="6"/>
  <c r="L35" i="6"/>
  <c r="K35" i="6"/>
  <c r="J35" i="6"/>
  <c r="I35" i="6"/>
  <c r="L34" i="6"/>
  <c r="K34" i="6"/>
  <c r="J34" i="6"/>
  <c r="I34" i="6"/>
  <c r="L33" i="6"/>
  <c r="K33" i="6"/>
  <c r="J33" i="6"/>
  <c r="I33" i="6"/>
  <c r="I32" i="6"/>
  <c r="L32" i="6"/>
  <c r="K32" i="6"/>
  <c r="J32" i="6"/>
  <c r="L31" i="6"/>
  <c r="I31" i="6"/>
  <c r="K31" i="6"/>
  <c r="J31" i="6"/>
  <c r="I30" i="6"/>
  <c r="J30" i="6"/>
  <c r="K30" i="6"/>
  <c r="L30" i="6"/>
  <c r="I29" i="6"/>
  <c r="J29" i="6"/>
  <c r="K29" i="6"/>
  <c r="L29" i="6"/>
  <c r="I28" i="6"/>
  <c r="J28" i="6"/>
  <c r="K28" i="6"/>
  <c r="L28" i="6"/>
  <c r="K27" i="6"/>
  <c r="I27" i="6"/>
  <c r="J27" i="6"/>
  <c r="L27" i="6"/>
  <c r="K26" i="6"/>
  <c r="J26" i="6"/>
  <c r="I26" i="6"/>
  <c r="L26" i="6"/>
  <c r="L25" i="6"/>
  <c r="K25" i="6"/>
  <c r="J25" i="6"/>
  <c r="I25" i="6"/>
  <c r="L24" i="6"/>
  <c r="K24" i="6"/>
  <c r="J24" i="6"/>
  <c r="I24" i="6"/>
  <c r="L23" i="6"/>
  <c r="K23" i="6"/>
  <c r="J23" i="6"/>
  <c r="I23" i="6"/>
  <c r="J22" i="6"/>
  <c r="I22" i="6"/>
  <c r="K22" i="6"/>
  <c r="L22" i="6"/>
  <c r="L21" i="6"/>
  <c r="K21" i="6"/>
  <c r="J21" i="6"/>
  <c r="I21" i="6"/>
  <c r="L20" i="6"/>
  <c r="K20" i="6"/>
  <c r="J20" i="6"/>
  <c r="I20" i="6"/>
  <c r="L19" i="6"/>
  <c r="I19" i="6"/>
  <c r="J19" i="6"/>
  <c r="K19" i="6"/>
  <c r="I18" i="6"/>
  <c r="J18" i="6"/>
  <c r="K18" i="6"/>
  <c r="L18" i="6"/>
  <c r="I17" i="6"/>
  <c r="L17" i="6"/>
  <c r="K17" i="6"/>
  <c r="J17" i="6"/>
  <c r="K16" i="6"/>
  <c r="J16" i="6"/>
  <c r="I16" i="6"/>
  <c r="L16" i="6"/>
  <c r="J114" i="5"/>
  <c r="K114" i="5"/>
  <c r="I114" i="5"/>
  <c r="L114" i="5"/>
  <c r="K113" i="5"/>
  <c r="L113" i="5"/>
  <c r="J113" i="5"/>
  <c r="I113" i="5"/>
  <c r="J112" i="5"/>
  <c r="K112" i="5"/>
  <c r="I112" i="5"/>
  <c r="L112" i="5"/>
  <c r="K111" i="5"/>
  <c r="L111" i="5"/>
  <c r="J111" i="5"/>
  <c r="K110" i="5"/>
  <c r="I110" i="5"/>
  <c r="J110" i="5"/>
  <c r="L110" i="5"/>
  <c r="K109" i="5"/>
  <c r="J109" i="5"/>
  <c r="L109" i="5"/>
  <c r="I108" i="5"/>
  <c r="J108" i="5"/>
  <c r="K108" i="5"/>
  <c r="L108" i="5"/>
  <c r="I107" i="5"/>
  <c r="J107" i="5"/>
  <c r="K107" i="5"/>
  <c r="L107" i="5"/>
  <c r="L106" i="5"/>
  <c r="K106" i="5"/>
  <c r="I106" i="5"/>
  <c r="J106" i="5"/>
  <c r="I105" i="5"/>
  <c r="J105" i="5"/>
  <c r="K105" i="5"/>
  <c r="L105" i="5"/>
  <c r="I104" i="5"/>
  <c r="J104" i="5"/>
  <c r="K104" i="5"/>
  <c r="L104" i="5"/>
  <c r="I103" i="5"/>
  <c r="J103" i="5"/>
  <c r="K103" i="5"/>
  <c r="L103" i="5"/>
  <c r="I102" i="5"/>
  <c r="J102" i="5"/>
  <c r="K102" i="5"/>
  <c r="L102" i="5"/>
  <c r="K101" i="5"/>
  <c r="J101" i="5"/>
  <c r="I101" i="5"/>
  <c r="L101" i="5"/>
  <c r="L99" i="5"/>
  <c r="K99" i="5"/>
  <c r="J99" i="5"/>
  <c r="I99" i="5"/>
  <c r="L98" i="5"/>
  <c r="K98" i="5"/>
  <c r="J98" i="5"/>
  <c r="I98" i="5"/>
  <c r="L97" i="5"/>
  <c r="K97" i="5"/>
  <c r="J97" i="5"/>
  <c r="I97" i="5"/>
  <c r="L96" i="5"/>
  <c r="K96" i="5"/>
  <c r="J96" i="5"/>
  <c r="I96" i="5"/>
  <c r="J95" i="5"/>
  <c r="L95" i="5"/>
  <c r="K95" i="5"/>
  <c r="I95" i="5"/>
  <c r="L94" i="5"/>
  <c r="K94" i="5"/>
  <c r="J94" i="5"/>
  <c r="I94" i="5"/>
  <c r="I93" i="5"/>
  <c r="J93" i="5"/>
  <c r="K93" i="5"/>
  <c r="L93" i="5"/>
  <c r="I92" i="5"/>
  <c r="J92" i="5"/>
  <c r="K92" i="5"/>
  <c r="L92" i="5"/>
  <c r="I91" i="5"/>
  <c r="J91" i="5"/>
  <c r="K91" i="5"/>
  <c r="L91" i="5"/>
  <c r="J90" i="5"/>
  <c r="K90" i="5"/>
  <c r="L90" i="5"/>
  <c r="I90" i="5"/>
  <c r="L89" i="5"/>
  <c r="K89" i="5"/>
  <c r="J89" i="5"/>
  <c r="I89" i="5"/>
  <c r="L88" i="5"/>
  <c r="K88" i="5"/>
  <c r="J88" i="5"/>
  <c r="I88" i="5"/>
  <c r="L87" i="5"/>
  <c r="K87" i="5"/>
  <c r="J87" i="5"/>
  <c r="I87" i="5"/>
  <c r="L86" i="5"/>
  <c r="K86" i="5"/>
  <c r="J86" i="5"/>
  <c r="I86" i="5"/>
  <c r="L85" i="5"/>
  <c r="K85" i="5"/>
  <c r="J85" i="5"/>
  <c r="I85" i="5"/>
  <c r="L84" i="5"/>
  <c r="K84" i="5"/>
  <c r="J84" i="5"/>
  <c r="I84" i="5"/>
  <c r="L83" i="5"/>
  <c r="K83" i="5"/>
  <c r="J83" i="5"/>
  <c r="I83" i="5"/>
  <c r="L82" i="5"/>
  <c r="K82" i="5"/>
  <c r="J82" i="5"/>
  <c r="I82" i="5"/>
  <c r="L81" i="5"/>
  <c r="K81" i="5"/>
  <c r="J81" i="5"/>
  <c r="I81" i="5"/>
  <c r="L80" i="5"/>
  <c r="K80" i="5"/>
  <c r="J80" i="5"/>
  <c r="I80" i="5"/>
  <c r="L79" i="5"/>
  <c r="K79" i="5"/>
  <c r="J79" i="5"/>
  <c r="I79" i="5"/>
  <c r="L78" i="5"/>
  <c r="K78" i="5"/>
  <c r="J78" i="5"/>
  <c r="I78" i="5"/>
  <c r="L77" i="5"/>
  <c r="K77" i="5"/>
  <c r="J77" i="5"/>
  <c r="I77" i="5"/>
  <c r="L76" i="5"/>
  <c r="K76" i="5"/>
  <c r="J76" i="5"/>
  <c r="I76" i="5"/>
  <c r="I75" i="5"/>
  <c r="J75" i="5"/>
  <c r="K75" i="5"/>
  <c r="L75" i="5"/>
  <c r="I74" i="5"/>
  <c r="J74" i="5"/>
  <c r="K74" i="5"/>
  <c r="L74" i="5"/>
  <c r="L73" i="5"/>
  <c r="K73" i="5"/>
  <c r="J73" i="5"/>
  <c r="I73" i="5"/>
  <c r="L72" i="5"/>
  <c r="K72" i="5"/>
  <c r="J72" i="5"/>
  <c r="I72" i="5"/>
  <c r="L71" i="5"/>
  <c r="K71" i="5"/>
  <c r="J71" i="5"/>
  <c r="I71" i="5"/>
  <c r="L70" i="5"/>
  <c r="K70" i="5"/>
  <c r="J70" i="5"/>
  <c r="I70" i="5"/>
  <c r="L69" i="5"/>
  <c r="K69" i="5"/>
  <c r="J69" i="5"/>
  <c r="I69" i="5"/>
  <c r="L68" i="5"/>
  <c r="K68" i="5"/>
  <c r="J68" i="5"/>
  <c r="I68" i="5"/>
  <c r="K67" i="5"/>
  <c r="J67" i="5"/>
  <c r="I67" i="5"/>
  <c r="L67" i="5"/>
  <c r="L66" i="5"/>
  <c r="K66" i="5"/>
  <c r="J66" i="5"/>
  <c r="I66" i="5"/>
  <c r="L64" i="5"/>
  <c r="K64" i="5"/>
  <c r="J64" i="5"/>
  <c r="I64" i="5"/>
  <c r="J63" i="5"/>
  <c r="I63" i="5"/>
  <c r="I62" i="5"/>
  <c r="L62" i="5"/>
  <c r="K62" i="5"/>
  <c r="J62" i="5"/>
  <c r="L61" i="5"/>
  <c r="I61" i="5"/>
  <c r="J61" i="5"/>
  <c r="K61" i="5"/>
  <c r="I60" i="5"/>
  <c r="J60" i="5"/>
  <c r="K60" i="5"/>
  <c r="L60" i="5"/>
  <c r="I59" i="5"/>
  <c r="J59" i="5"/>
  <c r="K59" i="5"/>
  <c r="L59" i="5"/>
  <c r="K58" i="5"/>
  <c r="L58" i="5"/>
  <c r="J58" i="5"/>
  <c r="I58" i="5"/>
  <c r="J57" i="5"/>
  <c r="K57" i="5"/>
  <c r="I57" i="5"/>
  <c r="L57" i="5"/>
  <c r="L56" i="5"/>
  <c r="K56" i="5"/>
  <c r="J56" i="5"/>
  <c r="I56" i="5"/>
  <c r="L55" i="5"/>
  <c r="K55" i="5"/>
  <c r="J55" i="5"/>
  <c r="I55" i="5"/>
  <c r="L54" i="5"/>
  <c r="K54" i="5"/>
  <c r="J54" i="5"/>
  <c r="I54" i="5"/>
  <c r="L53" i="5"/>
  <c r="K53" i="5"/>
  <c r="J53" i="5"/>
  <c r="I53" i="5"/>
  <c r="I52" i="5"/>
  <c r="L52" i="5"/>
  <c r="K52" i="5"/>
  <c r="J52" i="5"/>
  <c r="I51" i="5"/>
  <c r="K51" i="5"/>
  <c r="J51" i="5"/>
  <c r="L51" i="5"/>
  <c r="L50" i="5"/>
  <c r="K50" i="5"/>
  <c r="J50" i="5"/>
  <c r="I50" i="5"/>
  <c r="I49" i="5"/>
  <c r="L49" i="5"/>
  <c r="K49" i="5"/>
  <c r="J49" i="5"/>
  <c r="I48" i="5"/>
  <c r="L48" i="5"/>
  <c r="K48" i="5"/>
  <c r="J48" i="5"/>
  <c r="L47" i="5"/>
  <c r="K47" i="5"/>
  <c r="J47" i="5"/>
  <c r="I47" i="5"/>
  <c r="L46" i="5"/>
  <c r="K46" i="5"/>
  <c r="J46" i="5"/>
  <c r="I46" i="5"/>
  <c r="L45" i="5"/>
  <c r="K45" i="5"/>
  <c r="J45" i="5"/>
  <c r="I45" i="5"/>
  <c r="I44" i="5"/>
  <c r="L44" i="5"/>
  <c r="K44" i="5"/>
  <c r="J44" i="5"/>
  <c r="L43" i="5"/>
  <c r="K43" i="5"/>
  <c r="J43" i="5"/>
  <c r="I43" i="5"/>
  <c r="L42" i="5"/>
  <c r="K42" i="5"/>
  <c r="J42" i="5"/>
  <c r="I42" i="5"/>
  <c r="L41" i="5"/>
  <c r="K41" i="5"/>
  <c r="J41" i="5"/>
  <c r="I41" i="5"/>
  <c r="L40" i="5"/>
  <c r="K40" i="5"/>
  <c r="J40" i="5"/>
  <c r="I40" i="5"/>
  <c r="L39" i="5"/>
  <c r="K39" i="5"/>
  <c r="J39" i="5"/>
  <c r="I39" i="5"/>
  <c r="L38" i="5"/>
  <c r="K38" i="5"/>
  <c r="J38" i="5"/>
  <c r="I38" i="5"/>
  <c r="L37" i="5"/>
  <c r="K37" i="5"/>
  <c r="I37" i="5"/>
  <c r="J37" i="5"/>
  <c r="I36" i="5"/>
  <c r="J36" i="5"/>
  <c r="K36" i="5"/>
  <c r="L36" i="5"/>
  <c r="I35" i="5"/>
  <c r="J35" i="5"/>
  <c r="K35" i="5"/>
  <c r="L35" i="5"/>
  <c r="I34" i="5"/>
  <c r="J34" i="5"/>
  <c r="K34" i="5"/>
  <c r="L34" i="5"/>
  <c r="I33" i="5"/>
  <c r="J33" i="5"/>
  <c r="K33" i="5"/>
  <c r="L33" i="5"/>
  <c r="I32" i="5"/>
  <c r="J32" i="5"/>
  <c r="K32" i="5"/>
  <c r="L32" i="5"/>
  <c r="J31" i="5"/>
  <c r="L31" i="5"/>
  <c r="K31" i="5"/>
  <c r="I31" i="5"/>
  <c r="I30" i="5"/>
  <c r="K30" i="5"/>
  <c r="J30" i="5"/>
  <c r="L30" i="5"/>
  <c r="I29" i="5"/>
  <c r="J29" i="5"/>
  <c r="K29" i="5"/>
  <c r="L29" i="5"/>
  <c r="I28" i="5"/>
  <c r="J28" i="5"/>
  <c r="K28" i="5"/>
  <c r="L28" i="5"/>
  <c r="I27" i="5"/>
  <c r="J27" i="5"/>
  <c r="K27" i="5"/>
  <c r="L27" i="5"/>
  <c r="I26" i="5"/>
  <c r="J26" i="5"/>
  <c r="K26" i="5"/>
  <c r="L26" i="5"/>
  <c r="I25" i="5"/>
  <c r="L25" i="5"/>
  <c r="J25" i="5"/>
  <c r="K25" i="5"/>
  <c r="L24" i="5"/>
  <c r="I24" i="5"/>
  <c r="J24" i="5"/>
  <c r="K24" i="5"/>
  <c r="I23" i="5"/>
  <c r="J23" i="5"/>
  <c r="K23" i="5"/>
  <c r="L23" i="5"/>
  <c r="I22" i="5"/>
  <c r="J22" i="5"/>
  <c r="K22" i="5"/>
  <c r="L22" i="5"/>
  <c r="I21" i="5"/>
  <c r="J21" i="5"/>
  <c r="K21" i="5"/>
  <c r="L21" i="5"/>
  <c r="I20" i="5"/>
  <c r="J20" i="5"/>
  <c r="K20" i="5"/>
  <c r="L20" i="5"/>
  <c r="J19" i="5"/>
  <c r="L19" i="5"/>
  <c r="K19" i="5"/>
  <c r="I19" i="5"/>
  <c r="I18" i="5"/>
  <c r="L18" i="5"/>
  <c r="K18" i="5"/>
  <c r="J18" i="5"/>
  <c r="L17" i="5"/>
  <c r="K17" i="5"/>
  <c r="J17" i="5"/>
  <c r="I17" i="5"/>
  <c r="I16" i="5"/>
  <c r="L16" i="5"/>
  <c r="K16" i="5"/>
  <c r="J16" i="5"/>
  <c r="I114" i="4"/>
  <c r="J114" i="4"/>
  <c r="K114" i="4"/>
  <c r="L114" i="4"/>
  <c r="J113" i="4"/>
  <c r="K113" i="4"/>
  <c r="L113" i="4"/>
  <c r="I113" i="4"/>
  <c r="L112" i="4"/>
  <c r="K112" i="4"/>
  <c r="J112" i="4"/>
  <c r="I112" i="4"/>
  <c r="L111" i="4"/>
  <c r="K111" i="4"/>
  <c r="I111" i="4"/>
  <c r="J111" i="4"/>
  <c r="J110" i="4"/>
  <c r="K110" i="4"/>
  <c r="L110" i="4"/>
  <c r="I110" i="4"/>
  <c r="K109" i="4"/>
  <c r="L109" i="4"/>
  <c r="J109" i="4"/>
  <c r="I109" i="4"/>
  <c r="L108" i="4"/>
  <c r="K108" i="4"/>
  <c r="J108" i="4"/>
  <c r="I108" i="4"/>
  <c r="L107" i="4"/>
  <c r="K107" i="4"/>
  <c r="J107" i="4"/>
  <c r="I107" i="4"/>
  <c r="L106" i="4"/>
  <c r="K106" i="4"/>
  <c r="J106" i="4"/>
  <c r="I106" i="4"/>
  <c r="K105" i="4"/>
  <c r="I105" i="4"/>
  <c r="J105" i="4"/>
  <c r="L105" i="4"/>
  <c r="J104" i="4"/>
  <c r="L104" i="4"/>
  <c r="K104" i="4"/>
  <c r="I104" i="4"/>
  <c r="I103" i="4"/>
  <c r="J103" i="4"/>
  <c r="K103" i="4"/>
  <c r="L103" i="4"/>
  <c r="K102" i="4"/>
  <c r="J102" i="4"/>
  <c r="L102" i="4"/>
  <c r="I102" i="4"/>
  <c r="L101" i="4"/>
  <c r="K101" i="4"/>
  <c r="J101" i="4"/>
  <c r="I101" i="4"/>
  <c r="J100" i="4"/>
  <c r="L100" i="4"/>
  <c r="K100" i="4"/>
  <c r="I100" i="4"/>
  <c r="L99" i="4"/>
  <c r="K99" i="4"/>
  <c r="J99" i="4"/>
  <c r="I99" i="4"/>
  <c r="K98" i="4"/>
  <c r="I98" i="4"/>
  <c r="J98" i="4"/>
  <c r="L98" i="4"/>
  <c r="J97" i="4"/>
  <c r="I97" i="4"/>
  <c r="K97" i="4"/>
  <c r="L97" i="4"/>
  <c r="L96" i="4"/>
  <c r="J96" i="4"/>
  <c r="I96" i="4"/>
  <c r="K96" i="4"/>
  <c r="I95" i="4"/>
  <c r="J95" i="4"/>
  <c r="K95" i="4"/>
  <c r="L95" i="4"/>
  <c r="L94" i="4"/>
  <c r="J94" i="4"/>
  <c r="K94" i="4"/>
  <c r="I94" i="4"/>
  <c r="I93" i="4"/>
  <c r="K93" i="4"/>
  <c r="L93" i="4"/>
  <c r="J93" i="4"/>
  <c r="L91" i="4"/>
  <c r="K91" i="4"/>
  <c r="J91" i="4"/>
  <c r="I91" i="4"/>
  <c r="L90" i="4"/>
  <c r="K90" i="4"/>
  <c r="J90" i="4"/>
  <c r="I90" i="4"/>
  <c r="L89" i="4"/>
  <c r="K89" i="4"/>
  <c r="J89" i="4"/>
  <c r="I89" i="4"/>
  <c r="I88" i="4"/>
  <c r="J88" i="4"/>
  <c r="K88" i="4"/>
  <c r="L88" i="4"/>
  <c r="I87" i="4"/>
  <c r="J87" i="4"/>
  <c r="K87" i="4"/>
  <c r="L87" i="4"/>
  <c r="L86" i="4"/>
  <c r="K86" i="4"/>
  <c r="J86" i="4"/>
  <c r="I86" i="4"/>
  <c r="L85" i="4"/>
  <c r="K85" i="4"/>
  <c r="J85" i="4"/>
  <c r="I85" i="4"/>
  <c r="L84" i="4"/>
  <c r="I84" i="4"/>
  <c r="J84" i="4"/>
  <c r="K84" i="4"/>
  <c r="I83" i="4"/>
  <c r="L83" i="4"/>
  <c r="K83" i="4"/>
  <c r="J83" i="4"/>
  <c r="K82" i="4"/>
  <c r="L82" i="4"/>
  <c r="J82" i="4"/>
  <c r="I82" i="4"/>
  <c r="K81" i="4"/>
  <c r="I81" i="4"/>
  <c r="L81" i="4"/>
  <c r="J81" i="4"/>
  <c r="J80" i="4"/>
  <c r="K80" i="4"/>
  <c r="L80" i="4"/>
  <c r="I80" i="4"/>
  <c r="L79" i="4"/>
  <c r="J79" i="4"/>
  <c r="K79" i="4"/>
  <c r="I79" i="4"/>
  <c r="K78" i="4"/>
  <c r="I78" i="4"/>
  <c r="L78" i="4"/>
  <c r="J78" i="4"/>
  <c r="K77" i="4"/>
  <c r="J77" i="4"/>
  <c r="I77" i="4"/>
  <c r="L77" i="4"/>
  <c r="L76" i="4"/>
  <c r="J76" i="4"/>
  <c r="K76" i="4"/>
  <c r="I76" i="4"/>
  <c r="J75" i="4"/>
  <c r="I75" i="4"/>
  <c r="L75" i="4"/>
  <c r="K75" i="4"/>
  <c r="K74" i="4"/>
  <c r="L74" i="4"/>
  <c r="I74" i="4"/>
  <c r="J74" i="4"/>
  <c r="I73" i="4"/>
  <c r="L73" i="4"/>
  <c r="J73" i="4"/>
  <c r="K73" i="4"/>
  <c r="L72" i="4"/>
  <c r="I72" i="4"/>
  <c r="J72" i="4"/>
  <c r="K72" i="4"/>
  <c r="I71" i="4"/>
  <c r="J71" i="4"/>
  <c r="L71" i="4"/>
  <c r="K71" i="4"/>
  <c r="J70" i="4"/>
  <c r="L70" i="4"/>
  <c r="I70" i="4"/>
  <c r="K70" i="4"/>
  <c r="L69" i="4"/>
  <c r="I69" i="4"/>
  <c r="J69" i="4"/>
  <c r="K69" i="4"/>
  <c r="K68" i="4"/>
  <c r="I68" i="4"/>
  <c r="J68" i="4"/>
  <c r="L68" i="4"/>
  <c r="K67" i="4"/>
  <c r="I67" i="4"/>
  <c r="J67" i="4"/>
  <c r="L67" i="4"/>
  <c r="L66" i="4"/>
  <c r="J66" i="4"/>
  <c r="K66" i="4"/>
  <c r="I66" i="4"/>
  <c r="L64" i="4"/>
  <c r="K64" i="4"/>
  <c r="J64" i="4"/>
  <c r="I64" i="4"/>
  <c r="I63" i="4"/>
  <c r="J63" i="4"/>
  <c r="K63" i="4"/>
  <c r="L63" i="4"/>
  <c r="I62" i="4"/>
  <c r="J62" i="4"/>
  <c r="L62" i="4"/>
  <c r="K62" i="4"/>
  <c r="J61" i="4"/>
  <c r="L61" i="4"/>
  <c r="I61" i="4"/>
  <c r="K61" i="4"/>
  <c r="I60" i="4"/>
  <c r="L60" i="4"/>
  <c r="J60" i="4"/>
  <c r="K60" i="4"/>
  <c r="K59" i="4"/>
  <c r="J59" i="4"/>
  <c r="L59" i="4"/>
  <c r="I59" i="4"/>
  <c r="J58" i="4"/>
  <c r="L58" i="4"/>
  <c r="I58" i="4"/>
  <c r="K58" i="4"/>
  <c r="J57" i="4"/>
  <c r="L57" i="4"/>
  <c r="I57" i="4"/>
  <c r="K57" i="4"/>
  <c r="K56" i="4"/>
  <c r="J56" i="4"/>
  <c r="L56" i="4"/>
  <c r="I56" i="4"/>
  <c r="J55" i="4"/>
  <c r="I55" i="4"/>
  <c r="I54" i="4"/>
  <c r="J54" i="4"/>
  <c r="K54" i="4"/>
  <c r="L54" i="4"/>
  <c r="I53" i="4"/>
  <c r="J53" i="4"/>
  <c r="K53" i="4"/>
  <c r="L53" i="4"/>
  <c r="I52" i="4"/>
  <c r="J52" i="4"/>
  <c r="K52" i="4"/>
  <c r="L52" i="4"/>
  <c r="I51" i="4"/>
  <c r="J51" i="4"/>
  <c r="K51" i="4"/>
  <c r="L51" i="4"/>
  <c r="J50" i="4"/>
  <c r="I50" i="4"/>
  <c r="L50" i="4"/>
  <c r="K50" i="4"/>
  <c r="L49" i="4"/>
  <c r="K49" i="4"/>
  <c r="J49" i="4"/>
  <c r="I49" i="4"/>
  <c r="L48" i="4"/>
  <c r="K48" i="4"/>
  <c r="J48" i="4"/>
  <c r="I48" i="4"/>
  <c r="L47" i="4"/>
  <c r="K47" i="4"/>
  <c r="J47" i="4"/>
  <c r="I47" i="4"/>
  <c r="L46" i="4"/>
  <c r="K46" i="4"/>
  <c r="J46" i="4"/>
  <c r="I46" i="4"/>
  <c r="K45" i="4"/>
  <c r="J45" i="4"/>
  <c r="L45" i="4"/>
  <c r="I45" i="4"/>
  <c r="I44" i="4"/>
  <c r="J44" i="4"/>
  <c r="K44" i="4"/>
  <c r="L44" i="4"/>
  <c r="I43" i="4"/>
  <c r="J43" i="4"/>
  <c r="K43" i="4"/>
  <c r="L43" i="4"/>
  <c r="I42" i="4"/>
  <c r="J42" i="4"/>
  <c r="K42" i="4"/>
  <c r="L42" i="4"/>
  <c r="I41" i="4"/>
  <c r="J41" i="4"/>
  <c r="K41" i="4"/>
  <c r="L41" i="4"/>
  <c r="J40" i="4"/>
  <c r="I40" i="4"/>
  <c r="L40" i="4"/>
  <c r="K40" i="4"/>
  <c r="L39" i="4"/>
  <c r="J39" i="4"/>
  <c r="I39" i="4"/>
  <c r="K39" i="4"/>
  <c r="K38" i="4"/>
  <c r="I38" i="4"/>
  <c r="J38" i="4"/>
  <c r="L38" i="4"/>
  <c r="K37" i="4"/>
  <c r="J37" i="4"/>
  <c r="L37" i="4"/>
  <c r="I37" i="4"/>
  <c r="L36" i="4"/>
  <c r="I36" i="4"/>
  <c r="K36" i="4"/>
  <c r="J36" i="4"/>
  <c r="J35" i="4"/>
  <c r="L35" i="4"/>
  <c r="K35" i="4"/>
  <c r="I35" i="4"/>
  <c r="L34" i="4"/>
  <c r="J34" i="4"/>
  <c r="K34" i="4"/>
  <c r="I34" i="4"/>
  <c r="K33" i="4"/>
  <c r="J33" i="4"/>
  <c r="L33" i="4"/>
  <c r="I33" i="4"/>
  <c r="K32" i="4"/>
  <c r="I32" i="4"/>
  <c r="L32" i="4"/>
  <c r="J32" i="4"/>
  <c r="I31" i="4"/>
  <c r="J31" i="4"/>
  <c r="L31" i="4"/>
  <c r="K31" i="4"/>
  <c r="J30" i="4"/>
  <c r="K30" i="4"/>
  <c r="L30" i="4"/>
  <c r="K29" i="4"/>
  <c r="I29" i="4"/>
  <c r="J29" i="4"/>
  <c r="L29" i="4"/>
  <c r="L28" i="4"/>
  <c r="I28" i="4"/>
  <c r="J28" i="4"/>
  <c r="K28" i="4"/>
  <c r="I27" i="4"/>
  <c r="J27" i="4"/>
  <c r="L27" i="4"/>
  <c r="K27" i="4"/>
  <c r="K26" i="4"/>
  <c r="L26" i="4"/>
  <c r="I26" i="4"/>
  <c r="J26" i="4"/>
  <c r="I25" i="4"/>
  <c r="J25" i="4"/>
  <c r="L25" i="4"/>
  <c r="K25" i="4"/>
  <c r="L24" i="4"/>
  <c r="J24" i="4"/>
  <c r="K24" i="4"/>
  <c r="I24" i="4"/>
  <c r="J23" i="4"/>
  <c r="L23" i="4"/>
  <c r="I23" i="4"/>
  <c r="K23" i="4"/>
  <c r="I22" i="4"/>
  <c r="L22" i="4"/>
  <c r="K22" i="4"/>
  <c r="J22" i="4"/>
  <c r="I21" i="4"/>
  <c r="L21" i="4"/>
  <c r="J21" i="4"/>
  <c r="K21" i="4"/>
  <c r="L20" i="4"/>
  <c r="K20" i="4"/>
  <c r="I20" i="4"/>
  <c r="J20" i="4"/>
  <c r="I19" i="4"/>
  <c r="J19" i="4"/>
  <c r="K19" i="4"/>
  <c r="L19" i="4"/>
  <c r="I18" i="4"/>
  <c r="J18" i="4"/>
  <c r="K18" i="4"/>
  <c r="L18" i="4"/>
  <c r="I17" i="4"/>
  <c r="J17" i="4"/>
  <c r="K17" i="4"/>
  <c r="L17" i="4"/>
  <c r="I16" i="4"/>
  <c r="J16" i="4"/>
  <c r="K16" i="4"/>
  <c r="L16" i="4"/>
</calcChain>
</file>

<file path=xl/sharedStrings.xml><?xml version="1.0" encoding="utf-8"?>
<sst xmlns="http://schemas.openxmlformats.org/spreadsheetml/2006/main" count="437" uniqueCount="52">
  <si>
    <t>Input Data Sheet for Electronic-Class Record (ECR) for Class Adviser</t>
  </si>
  <si>
    <t>CLASS SUMMARY - FIRST</t>
  </si>
  <si>
    <t>SCHOOL INFORMATION</t>
  </si>
  <si>
    <t>LEARNERS' DATA</t>
  </si>
  <si>
    <t>REGION</t>
  </si>
  <si>
    <t>:</t>
  </si>
  <si>
    <t>DIVISION</t>
  </si>
  <si>
    <t>MALE</t>
  </si>
  <si>
    <t>LRN</t>
  </si>
  <si>
    <t>BIRTHDATE</t>
  </si>
  <si>
    <t>FEMALE</t>
  </si>
  <si>
    <t>CLASS SUMMARY - SECOND</t>
  </si>
  <si>
    <t>SCHOOL NAME</t>
  </si>
  <si>
    <t>SCHOOL ID</t>
  </si>
  <si>
    <t>CITY/MUNICIPALITY</t>
  </si>
  <si>
    <t>SCHOOL YEAR</t>
  </si>
  <si>
    <t>DISTRICT</t>
  </si>
  <si>
    <t>FIRST TERM</t>
  </si>
  <si>
    <t>Age (BoSY)</t>
  </si>
  <si>
    <t>Age (EoSY)</t>
  </si>
  <si>
    <t>Sex</t>
  </si>
  <si>
    <t>GRADE LEVEL</t>
  </si>
  <si>
    <t>ADVISER</t>
  </si>
  <si>
    <t>SCHOOL HEAD</t>
  </si>
  <si>
    <t>SECTION</t>
  </si>
  <si>
    <t>I. Sensory Perceptual and Motor Development</t>
  </si>
  <si>
    <t>II. Socio-emotional Development</t>
  </si>
  <si>
    <t>III. Cognitive Development</t>
  </si>
  <si>
    <t>SECOND TERM</t>
  </si>
  <si>
    <t>IV. Language, Literacy, and Communication Development</t>
  </si>
  <si>
    <t>LEARNERS' NAMES</t>
  </si>
  <si>
    <t>Date of Birth</t>
  </si>
  <si>
    <t>Years</t>
  </si>
  <si>
    <t>Months</t>
  </si>
  <si>
    <t>TEACHER, GRADE LEVEL, SECTION INFORMATION</t>
  </si>
  <si>
    <t>(Accepts Kinder only)</t>
  </si>
  <si>
    <t>A. Listening and Viewing</t>
  </si>
  <si>
    <t>B. Sight Word Recognition</t>
  </si>
  <si>
    <t>C. Speaking</t>
  </si>
  <si>
    <t>D. Reading</t>
  </si>
  <si>
    <t>E. Comprehension</t>
  </si>
  <si>
    <t>F. Concepts of Print</t>
  </si>
  <si>
    <t>G. Writing</t>
  </si>
  <si>
    <r>
      <rPr>
        <b/>
        <i/>
        <sz val="9"/>
        <color rgb="FF002060"/>
        <rFont val="Arial"/>
      </rPr>
      <t>IMPORTANT NOTE:</t>
    </r>
    <r>
      <rPr>
        <i/>
        <sz val="9"/>
        <color rgb="FF002060"/>
        <rFont val="Arial"/>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</si>
  <si>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Phonological / Phonemic Awareness</t>
  </si>
  <si>
    <t>Letter Knowledge</t>
  </si>
  <si>
    <t>Letter Sound Relationship</t>
  </si>
  <si>
    <t>M</t>
  </si>
  <si>
    <t>2026_v1.0</t>
  </si>
  <si>
    <t>CLASS SUMMARY - THIRD</t>
  </si>
  <si>
    <t>THIRD TERM</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</si>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</sst>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dd/yyyy"/>
  </numFmts>
  <fonts count="15" x14ac:knownFonts="1">
    <font>
      <sz val="10"/>
      <color rgb="FF000000"/>
      <name val="Arial"/>
      <scheme val="minor"/>
    </font>
    <font>
      <b/>
      <sz val="22"/>
      <color rgb="FF002060"/>
      <name val="Arial"/>
    </font>
    <font>
      <sz val="10"/>
      <name val="Arial"/>
    </font>
    <font>
      <sz val="11"/>
      <color theme="1"/>
      <name val="Arial"/>
    </font>
    <font>
      <b/>
      <sz val="11"/>
      <color rgb="FFFFFFFF"/>
      <name val="Arial"/>
    </font>
    <font>
      <b/>
      <sz val="23"/>
      <color theme="1"/>
      <name val="Arial"/>
    </font>
    <font>
      <sz val="10"/>
      <color theme="1"/>
      <name val="Arial"/>
    </font>
    <font>
      <sz val="12"/>
      <color theme="1"/>
      <name val="Arial"/>
    </font>
    <font>
      <b/>
      <sz val="12"/>
      <color theme="1"/>
      <name val="Arial"/>
    </font>
    <font>
      <b/>
      <sz val="11"/>
      <color rgb="FF002060"/>
      <name val="Arial"/>
    </font>
    <font>
      <b/>
      <sz val="10"/>
      <color theme="1"/>
      <name val="Arial"/>
    </font>
    <font>
      <i/>
      <sz val="11"/>
      <color rgb="FF002060"/>
      <name val="Arial"/>
    </font>
    <font>
      <i/>
      <sz val="9"/>
      <color rgb="FF002060"/>
      <name val="Arial"/>
    </font>
    <font>
      <i/>
      <sz val="8"/>
      <color theme="1"/>
      <name val="Arial"/>
    </font>
    <font>
      <b/>
      <i/>
      <sz val="9"/>
      <color rgb="FF002060"/>
      <name val="Arial"/>
    </font>
  </fonts>
  <fills count="10">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ECECEC"/>
        <bgColor rgb="FFECECEC"/>
      </patternFill>
    </fill>
    <fill>
      <patternFill patternType="solid">
        <fgColor rgb="FFC9DAF8"/>
        <bgColor rgb="FFC9DAF8"/>
      </patternFill>
    </fill>
    <fill>
      <patternFill patternType="solid">
        <fgColor rgb="FF999999"/>
        <bgColor rgb="FF999999"/>
      </patternFill>
    </fill>
    <fill>
      <patternFill patternType="solid">
        <fgColor rgb="FFFEF1CC"/>
        <bgColor rgb="FFFEF1CC"/>
      </patternFill>
    </fill>
  </fills>
  <borders count="1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medium">
        <color rgb="FF000000"/>
      </top>
      <bottom/>
      <diagonal/>
    </border>
    <border>
      <left/>
      <right/>
      <top/>
      <bottom style="thin">
        <color rgb="FF000000"/>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diagonal/>
    </border>
    <border>
      <left style="medium">
        <color rgb="FF000000"/>
      </left>
      <right style="medium">
        <color rgb="FF000000"/>
      </right>
      <top/>
      <bottom/>
      <diagonal/>
    </border>
    <border>
      <left/>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style="thin">
        <color rgb="FF000000"/>
      </bottom>
      <diagonal/>
    </border>
    <border>
      <left style="thin">
        <color rgb="FF000000"/>
      </left>
      <right/>
      <top style="medium">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medium">
        <color rgb="FF000000"/>
      </right>
      <top style="medium">
        <color rgb="FF000000"/>
      </top>
      <bottom/>
      <diagonal/>
    </border>
    <border>
      <left style="thin">
        <color rgb="FF000000"/>
      </left>
      <right/>
      <top/>
      <bottom style="thin">
        <color rgb="FF000000"/>
      </bottom>
      <diagonal/>
    </border>
    <border>
      <left/>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209">
    <xf numFmtId="0" fontId="0" fillId="0" borderId="0" xfId="0"/>
    <xf numFmtId="0" fontId="3" fillId="0" borderId="0" xfId="0" applyFont="1" applyAlignment="1">
      <alignment vertical="center"/>
    </xf>
    <xf numFmtId="0" fontId="6" fillId="0" borderId="0" xfId="0" applyFont="1" applyAlignment="1">
      <alignment horizontal="left" vertical="center"/>
    </xf>
    <xf numFmtId="0" fontId="3" fillId="4" borderId="14" xfId="0" applyFont="1" applyFill="1" applyBorder="1" applyAlignment="1">
      <alignment vertical="center"/>
    </xf>
    <xf numFmtId="0" fontId="3" fillId="4" borderId="15" xfId="0" applyFont="1" applyFill="1" applyBorder="1" applyAlignment="1">
      <alignment vertical="center"/>
    </xf>
    <xf numFmtId="0" fontId="6" fillId="0" borderId="0" xfId="0" applyFont="1" applyAlignment="1">
      <alignment horizontal="center" vertical="center"/>
    </xf>
    <xf numFmtId="0" fontId="3" fillId="4" borderId="16" xfId="0" applyFont="1" applyFill="1" applyBorder="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right" vertical="center"/>
    </xf>
    <xf numFmtId="0" fontId="6" fillId="0" borderId="0" xfId="0" applyFont="1"/>
    <xf numFmtId="0" fontId="9" fillId="5" borderId="23" xfId="0" applyFont="1" applyFill="1" applyBorder="1" applyAlignment="1">
      <alignment horizontal="center" vertical="center"/>
    </xf>
    <xf numFmtId="0" fontId="7" fillId="0" borderId="0" xfId="0" applyFont="1"/>
    <xf numFmtId="0" fontId="4" fillId="3" borderId="27" xfId="0" applyFont="1" applyFill="1" applyBorder="1" applyAlignment="1">
      <alignment vertical="center"/>
    </xf>
    <xf numFmtId="0" fontId="3" fillId="3" borderId="28" xfId="0" applyFont="1" applyFill="1" applyBorder="1" applyAlignment="1">
      <alignment vertical="center"/>
    </xf>
    <xf numFmtId="0" fontId="4" fillId="3" borderId="15" xfId="0" applyFont="1" applyFill="1" applyBorder="1" applyAlignment="1">
      <alignment horizontal="center"/>
    </xf>
    <xf numFmtId="0" fontId="3" fillId="0" borderId="0" xfId="0" applyFont="1" applyAlignment="1">
      <alignment horizontal="center" vertical="center"/>
    </xf>
    <xf numFmtId="0" fontId="3" fillId="3" borderId="29" xfId="0" applyFont="1" applyFill="1" applyBorder="1" applyAlignment="1">
      <alignment vertical="center"/>
    </xf>
    <xf numFmtId="0" fontId="3" fillId="5" borderId="23" xfId="0" applyFont="1" applyFill="1" applyBorder="1" applyAlignment="1">
      <alignment vertical="center"/>
    </xf>
    <xf numFmtId="0" fontId="3" fillId="5" borderId="28" xfId="0" applyFont="1" applyFill="1" applyBorder="1" applyAlignment="1">
      <alignment vertical="center"/>
    </xf>
    <xf numFmtId="0" fontId="9" fillId="5" borderId="29" xfId="0" applyFont="1" applyFill="1" applyBorder="1" applyAlignment="1">
      <alignment horizontal="center" vertical="center"/>
    </xf>
    <xf numFmtId="0" fontId="3" fillId="5" borderId="29" xfId="0" applyFont="1" applyFill="1" applyBorder="1" applyAlignment="1">
      <alignment vertical="center"/>
    </xf>
    <xf numFmtId="0" fontId="7" fillId="0" borderId="0" xfId="0" applyFont="1" applyAlignment="1">
      <alignment horizontal="left" vertical="center" wrapText="1"/>
    </xf>
    <xf numFmtId="1" fontId="3" fillId="5" borderId="29" xfId="0" applyNumberFormat="1" applyFont="1" applyFill="1" applyBorder="1" applyAlignment="1">
      <alignment horizontal="center"/>
    </xf>
    <xf numFmtId="164" fontId="3" fillId="5" borderId="29" xfId="0" applyNumberFormat="1" applyFont="1" applyFill="1" applyBorder="1" applyAlignment="1">
      <alignment horizontal="center"/>
    </xf>
    <xf numFmtId="0" fontId="3" fillId="5" borderId="29" xfId="0" applyFont="1" applyFill="1" applyBorder="1" applyAlignment="1">
      <alignment horizontal="left" vertical="center"/>
    </xf>
    <xf numFmtId="0" fontId="3" fillId="0" borderId="0" xfId="0" applyFont="1" applyAlignment="1">
      <alignment horizontal="center"/>
    </xf>
    <xf numFmtId="0" fontId="7" fillId="0" borderId="0" xfId="0" applyFont="1" applyAlignment="1">
      <alignment horizontal="center" vertical="center" wrapText="1"/>
    </xf>
    <xf numFmtId="0" fontId="10" fillId="0" borderId="0" xfId="0" applyFont="1" applyAlignment="1">
      <alignment horizontal="center" vertical="center"/>
    </xf>
    <xf numFmtId="0" fontId="6" fillId="0" borderId="0" xfId="0" applyFont="1" applyAlignment="1">
      <alignment horizontal="center" vertical="center" wrapText="1"/>
    </xf>
    <xf numFmtId="0" fontId="10" fillId="0" borderId="0" xfId="0" applyFont="1" applyAlignment="1">
      <alignment horizontal="center" vertical="center" wrapText="1"/>
    </xf>
    <xf numFmtId="1" fontId="6" fillId="5" borderId="29" xfId="0" applyNumberFormat="1" applyFont="1" applyFill="1" applyBorder="1" applyAlignment="1">
      <alignment horizontal="center"/>
    </xf>
    <xf numFmtId="0" fontId="6" fillId="0" borderId="0" xfId="0" applyFont="1" applyAlignment="1">
      <alignment horizontal="left" vertical="center" wrapText="1"/>
    </xf>
    <xf numFmtId="164" fontId="6" fillId="5" borderId="29" xfId="0" applyNumberFormat="1" applyFont="1" applyFill="1" applyBorder="1" applyAlignment="1">
      <alignment horizontal="center"/>
    </xf>
    <xf numFmtId="0" fontId="3" fillId="4" borderId="57" xfId="0" applyFont="1" applyFill="1" applyBorder="1" applyAlignment="1">
      <alignment vertical="center"/>
    </xf>
    <xf numFmtId="0" fontId="3" fillId="4" borderId="58" xfId="0" applyFont="1" applyFill="1" applyBorder="1" applyAlignment="1">
      <alignment vertical="center"/>
    </xf>
    <xf numFmtId="0" fontId="3" fillId="4" borderId="59" xfId="0" applyFont="1" applyFill="1" applyBorder="1" applyAlignment="1">
      <alignment vertical="center"/>
    </xf>
    <xf numFmtId="0" fontId="9" fillId="5" borderId="64" xfId="0" applyFont="1" applyFill="1" applyBorder="1" applyAlignment="1">
      <alignment vertical="center"/>
    </xf>
    <xf numFmtId="0" fontId="3" fillId="5" borderId="65" xfId="0" applyFont="1" applyFill="1" applyBorder="1" applyAlignment="1">
      <alignment vertical="center"/>
    </xf>
    <xf numFmtId="0" fontId="9" fillId="5" borderId="65" xfId="0" applyFont="1" applyFill="1" applyBorder="1" applyAlignment="1">
      <alignment horizontal="center" vertical="center"/>
    </xf>
    <xf numFmtId="0" fontId="3" fillId="5" borderId="28" xfId="0" applyFont="1" applyFill="1" applyBorder="1" applyAlignment="1">
      <alignment horizontal="left" vertical="center"/>
    </xf>
    <xf numFmtId="0" fontId="11" fillId="5" borderId="29" xfId="0" applyFont="1" applyFill="1" applyBorder="1" applyAlignment="1">
      <alignment vertical="center" wrapText="1"/>
    </xf>
    <xf numFmtId="0" fontId="9" fillId="5" borderId="67" xfId="0" applyFont="1" applyFill="1" applyBorder="1" applyAlignment="1">
      <alignment vertical="center"/>
    </xf>
    <xf numFmtId="0" fontId="3" fillId="5" borderId="68" xfId="0" applyFont="1" applyFill="1" applyBorder="1" applyAlignment="1">
      <alignment vertical="center"/>
    </xf>
    <xf numFmtId="0" fontId="9" fillId="5" borderId="68" xfId="0" applyFont="1" applyFill="1" applyBorder="1" applyAlignment="1">
      <alignment horizontal="center" vertical="center"/>
    </xf>
    <xf numFmtId="0" fontId="3" fillId="6" borderId="14" xfId="0" applyFont="1" applyFill="1" applyBorder="1" applyAlignment="1">
      <alignment vertical="center"/>
    </xf>
    <xf numFmtId="0" fontId="3" fillId="6" borderId="16" xfId="0" applyFont="1" applyFill="1" applyBorder="1" applyAlignment="1">
      <alignment vertical="center"/>
    </xf>
    <xf numFmtId="0" fontId="10" fillId="7" borderId="76" xfId="0" applyFont="1" applyFill="1" applyBorder="1" applyAlignment="1">
      <alignment horizontal="center" vertical="center" wrapText="1"/>
    </xf>
    <xf numFmtId="0" fontId="3" fillId="6" borderId="57" xfId="0" applyFont="1" applyFill="1" applyBorder="1" applyAlignment="1">
      <alignment vertical="center"/>
    </xf>
    <xf numFmtId="0" fontId="3" fillId="6" borderId="58" xfId="0" applyFont="1" applyFill="1" applyBorder="1" applyAlignment="1">
      <alignment vertical="center"/>
    </xf>
    <xf numFmtId="0" fontId="3" fillId="6" borderId="59" xfId="0" applyFont="1" applyFill="1" applyBorder="1" applyAlignment="1">
      <alignment vertical="center"/>
    </xf>
    <xf numFmtId="0" fontId="10" fillId="7" borderId="86" xfId="0" applyFont="1" applyFill="1" applyBorder="1" applyAlignment="1">
      <alignment horizontal="center" vertical="center" wrapText="1"/>
    </xf>
    <xf numFmtId="0" fontId="10" fillId="7" borderId="87" xfId="0" applyFont="1" applyFill="1" applyBorder="1" applyAlignment="1">
      <alignment horizontal="center" wrapText="1"/>
    </xf>
    <xf numFmtId="165" fontId="6" fillId="6" borderId="91" xfId="0" applyNumberFormat="1" applyFont="1" applyFill="1" applyBorder="1" applyAlignment="1">
      <alignment horizontal="center"/>
    </xf>
    <xf numFmtId="1" fontId="6" fillId="0" borderId="92" xfId="0" applyNumberFormat="1" applyFont="1" applyBorder="1" applyAlignment="1">
      <alignment horizontal="center" vertical="center" wrapText="1"/>
    </xf>
    <xf numFmtId="1" fontId="6" fillId="0" borderId="93" xfId="0" applyNumberFormat="1" applyFont="1" applyBorder="1" applyAlignment="1">
      <alignment horizontal="center" vertical="center" wrapText="1"/>
    </xf>
    <xf numFmtId="1" fontId="6" fillId="0" borderId="94" xfId="0" applyNumberFormat="1" applyFont="1" applyBorder="1" applyAlignment="1">
      <alignment horizontal="center" vertical="center" wrapText="1"/>
    </xf>
    <xf numFmtId="0" fontId="6" fillId="0" borderId="95" xfId="0" applyFont="1" applyBorder="1" applyAlignment="1">
      <alignment horizontal="center" vertical="center" wrapText="1"/>
    </xf>
    <xf numFmtId="0" fontId="6" fillId="0" borderId="92" xfId="0" applyFont="1" applyBorder="1" applyAlignment="1">
      <alignment horizontal="center"/>
    </xf>
    <xf numFmtId="0" fontId="6" fillId="0" borderId="93" xfId="0" applyFont="1" applyBorder="1" applyAlignment="1">
      <alignment horizontal="center"/>
    </xf>
    <xf numFmtId="0" fontId="6" fillId="0" borderId="94" xfId="0" applyFont="1" applyBorder="1" applyAlignment="1">
      <alignment horizontal="center"/>
    </xf>
    <xf numFmtId="0" fontId="10" fillId="7" borderId="96" xfId="0" applyFont="1" applyFill="1" applyBorder="1" applyAlignment="1">
      <alignment horizontal="center" wrapText="1"/>
    </xf>
    <xf numFmtId="165" fontId="6" fillId="6" borderId="87" xfId="0" applyNumberFormat="1" applyFont="1" applyFill="1" applyBorder="1" applyAlignment="1">
      <alignment horizontal="center"/>
    </xf>
    <xf numFmtId="1" fontId="6" fillId="0" borderId="98" xfId="0" applyNumberFormat="1" applyFont="1" applyBorder="1" applyAlignment="1">
      <alignment horizontal="center" vertical="center" wrapText="1"/>
    </xf>
    <xf numFmtId="1" fontId="6" fillId="0" borderId="29" xfId="0" applyNumberFormat="1" applyFont="1" applyBorder="1" applyAlignment="1">
      <alignment horizontal="center" vertical="center" wrapText="1"/>
    </xf>
    <xf numFmtId="1" fontId="6" fillId="0" borderId="99" xfId="0" applyNumberFormat="1" applyFont="1" applyBorder="1" applyAlignment="1">
      <alignment horizontal="center" vertical="center" wrapText="1"/>
    </xf>
    <xf numFmtId="0" fontId="6" fillId="0" borderId="69" xfId="0" applyFont="1" applyBorder="1" applyAlignment="1">
      <alignment horizontal="center" vertical="center" wrapText="1"/>
    </xf>
    <xf numFmtId="0" fontId="6" fillId="0" borderId="98" xfId="0" applyFont="1" applyBorder="1" applyAlignment="1">
      <alignment horizontal="center"/>
    </xf>
    <xf numFmtId="0" fontId="6" fillId="0" borderId="29" xfId="0" applyFont="1" applyBorder="1" applyAlignment="1">
      <alignment horizontal="center"/>
    </xf>
    <xf numFmtId="0" fontId="6" fillId="0" borderId="99" xfId="0" applyFont="1" applyBorder="1" applyAlignment="1">
      <alignment horizontal="center"/>
    </xf>
    <xf numFmtId="1" fontId="6" fillId="0" borderId="100" xfId="0" applyNumberFormat="1" applyFont="1" applyBorder="1" applyAlignment="1">
      <alignment horizontal="center" vertical="center" wrapText="1"/>
    </xf>
    <xf numFmtId="0" fontId="6" fillId="0" borderId="100" xfId="0" applyFont="1" applyBorder="1" applyAlignment="1">
      <alignment horizontal="center" vertical="center" wrapText="1"/>
    </xf>
    <xf numFmtId="0" fontId="6" fillId="0" borderId="98" xfId="0" applyFont="1" applyBorder="1"/>
    <xf numFmtId="0" fontId="6" fillId="0" borderId="29" xfId="0" applyFont="1" applyBorder="1"/>
    <xf numFmtId="0" fontId="6" fillId="0" borderId="99" xfId="0" applyFont="1" applyBorder="1"/>
    <xf numFmtId="0" fontId="10" fillId="7" borderId="96" xfId="0" applyFont="1" applyFill="1" applyBorder="1" applyAlignment="1">
      <alignment horizontal="center"/>
    </xf>
    <xf numFmtId="0" fontId="6" fillId="0" borderId="69" xfId="0" applyFont="1" applyBorder="1" applyAlignment="1">
      <alignment horizontal="center" vertical="center"/>
    </xf>
    <xf numFmtId="0" fontId="6" fillId="0" borderId="96" xfId="0" applyFont="1" applyBorder="1" applyAlignment="1">
      <alignment horizontal="center" vertical="center" wrapText="1"/>
    </xf>
    <xf numFmtId="0" fontId="13" fillId="0" borderId="0" xfId="0" applyFont="1" applyAlignment="1">
      <alignment horizontal="right" vertical="center"/>
    </xf>
    <xf numFmtId="0" fontId="6" fillId="0" borderId="96" xfId="0" applyFont="1" applyBorder="1" applyAlignment="1">
      <alignment horizontal="center" vertical="center"/>
    </xf>
    <xf numFmtId="1" fontId="6" fillId="0" borderId="91" xfId="0" applyNumberFormat="1" applyFont="1" applyBorder="1" applyAlignment="1">
      <alignment horizontal="center" vertical="center" wrapText="1"/>
    </xf>
    <xf numFmtId="0" fontId="10" fillId="7" borderId="102" xfId="0" applyFont="1" applyFill="1" applyBorder="1" applyAlignment="1">
      <alignment horizontal="center"/>
    </xf>
    <xf numFmtId="1" fontId="6" fillId="0" borderId="96" xfId="0" applyNumberFormat="1" applyFont="1" applyBorder="1" applyAlignment="1">
      <alignment horizontal="center" vertical="center" wrapText="1"/>
    </xf>
    <xf numFmtId="165" fontId="6" fillId="6" borderId="105" xfId="0" applyNumberFormat="1" applyFont="1" applyFill="1" applyBorder="1" applyAlignment="1">
      <alignment horizontal="center"/>
    </xf>
    <xf numFmtId="1" fontId="6" fillId="0" borderId="106" xfId="0" applyNumberFormat="1" applyFont="1" applyBorder="1" applyAlignment="1">
      <alignment horizontal="center" vertical="center" wrapText="1"/>
    </xf>
    <xf numFmtId="1" fontId="6" fillId="0" borderId="86" xfId="0" applyNumberFormat="1" applyFont="1" applyBorder="1" applyAlignment="1">
      <alignment horizontal="center" vertical="center" wrapText="1"/>
    </xf>
    <xf numFmtId="1" fontId="6" fillId="0" borderId="101" xfId="0" applyNumberFormat="1" applyFont="1" applyBorder="1" applyAlignment="1">
      <alignment horizontal="center" vertical="center" wrapText="1"/>
    </xf>
    <xf numFmtId="0" fontId="6" fillId="0" borderId="52" xfId="0" applyFont="1" applyBorder="1" applyAlignment="1">
      <alignment horizontal="center" vertical="center"/>
    </xf>
    <xf numFmtId="0" fontId="6" fillId="0" borderId="106" xfId="0" applyFont="1" applyBorder="1"/>
    <xf numFmtId="0" fontId="6" fillId="0" borderId="86" xfId="0" applyFont="1" applyBorder="1"/>
    <xf numFmtId="0" fontId="6" fillId="0" borderId="101" xfId="0" applyFont="1" applyBorder="1"/>
    <xf numFmtId="0" fontId="10" fillId="9" borderId="91" xfId="0" applyFont="1" applyFill="1" applyBorder="1" applyAlignment="1">
      <alignment horizontal="center" wrapText="1"/>
    </xf>
    <xf numFmtId="165" fontId="6" fillId="6" borderId="111" xfId="0" applyNumberFormat="1" applyFont="1" applyFill="1" applyBorder="1" applyAlignment="1">
      <alignment horizontal="center"/>
    </xf>
    <xf numFmtId="0" fontId="6" fillId="0" borderId="91" xfId="0" applyFont="1" applyBorder="1" applyAlignment="1">
      <alignment horizontal="center" vertical="center" wrapText="1"/>
    </xf>
    <xf numFmtId="0" fontId="10" fillId="9" borderId="96" xfId="0" applyFont="1" applyFill="1" applyBorder="1" applyAlignment="1">
      <alignment horizontal="center" wrapText="1"/>
    </xf>
    <xf numFmtId="165" fontId="6" fillId="6" borderId="112" xfId="0" applyNumberFormat="1" applyFont="1" applyFill="1" applyBorder="1" applyAlignment="1">
      <alignment horizontal="center"/>
    </xf>
    <xf numFmtId="0" fontId="10" fillId="9" borderId="96" xfId="0" applyFont="1" applyFill="1" applyBorder="1" applyAlignment="1">
      <alignment horizontal="center"/>
    </xf>
    <xf numFmtId="1" fontId="6" fillId="0" borderId="80" xfId="0" applyNumberFormat="1" applyFont="1" applyBorder="1" applyAlignment="1">
      <alignment horizontal="center" vertical="center" wrapText="1"/>
    </xf>
    <xf numFmtId="0" fontId="6" fillId="0" borderId="102" xfId="0" applyFont="1" applyBorder="1" applyAlignment="1">
      <alignment horizontal="center" vertical="center"/>
    </xf>
    <xf numFmtId="1" fontId="6" fillId="0" borderId="102" xfId="0" applyNumberFormat="1" applyFont="1" applyBorder="1" applyAlignment="1">
      <alignment horizontal="center" vertical="center" wrapText="1"/>
    </xf>
    <xf numFmtId="0" fontId="10" fillId="9" borderId="87" xfId="0" applyFont="1" applyFill="1" applyBorder="1" applyAlignment="1">
      <alignment horizontal="center"/>
    </xf>
    <xf numFmtId="0" fontId="10" fillId="9" borderId="102" xfId="0" applyFont="1" applyFill="1" applyBorder="1" applyAlignment="1">
      <alignment horizontal="center"/>
    </xf>
    <xf numFmtId="165" fontId="6" fillId="6" borderId="114" xfId="0" applyNumberFormat="1" applyFont="1" applyFill="1" applyBorder="1" applyAlignment="1">
      <alignment horizontal="center"/>
    </xf>
    <xf numFmtId="0" fontId="6" fillId="0" borderId="102" xfId="0" applyFont="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4" fillId="3" borderId="9" xfId="0" applyFont="1" applyFill="1" applyBorder="1" applyAlignment="1">
      <alignment horizontal="center" vertical="center"/>
    </xf>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9" fillId="5" borderId="19" xfId="0" applyFont="1" applyFill="1" applyBorder="1" applyAlignment="1">
      <alignment vertical="center"/>
    </xf>
    <xf numFmtId="0" fontId="2" fillId="0" borderId="20" xfId="0" applyFont="1" applyBorder="1"/>
    <xf numFmtId="0" fontId="3" fillId="5" borderId="25" xfId="0" applyFont="1" applyFill="1" applyBorder="1" applyAlignment="1">
      <alignment vertical="center"/>
    </xf>
    <xf numFmtId="0" fontId="2" fillId="0" borderId="26" xfId="0" applyFont="1" applyBorder="1"/>
    <xf numFmtId="0" fontId="12" fillId="6" borderId="1" xfId="0" applyFont="1" applyFill="1" applyBorder="1" applyAlignment="1">
      <alignment horizontal="left" wrapText="1"/>
    </xf>
    <xf numFmtId="0" fontId="3" fillId="5" borderId="25" xfId="0" applyFont="1" applyFill="1" applyBorder="1" applyAlignment="1">
      <alignment horizontal="left" vertical="center"/>
    </xf>
    <xf numFmtId="0" fontId="9" fillId="5" borderId="30" xfId="0" applyFont="1" applyFill="1" applyBorder="1" applyAlignment="1">
      <alignment vertical="center"/>
    </xf>
    <xf numFmtId="0" fontId="2" fillId="0" borderId="31" xfId="0" applyFont="1" applyBorder="1"/>
    <xf numFmtId="0" fontId="2" fillId="0" borderId="36" xfId="0" applyFont="1" applyBorder="1"/>
    <xf numFmtId="0" fontId="2" fillId="0" borderId="37" xfId="0" applyFont="1" applyBorder="1"/>
    <xf numFmtId="0" fontId="9" fillId="5" borderId="33" xfId="0" applyFont="1" applyFill="1" applyBorder="1" applyAlignment="1">
      <alignment horizontal="center" vertical="center"/>
    </xf>
    <xf numFmtId="0" fontId="2" fillId="0" borderId="38" xfId="0" applyFont="1" applyBorder="1"/>
    <xf numFmtId="0" fontId="3" fillId="5" borderId="34" xfId="0" applyFont="1" applyFill="1" applyBorder="1" applyAlignment="1">
      <alignment vertical="center"/>
    </xf>
    <xf numFmtId="0" fontId="2" fillId="0" borderId="35" xfId="0" applyFont="1" applyBorder="1"/>
    <xf numFmtId="0" fontId="2" fillId="0" borderId="40" xfId="0" applyFont="1" applyBorder="1"/>
    <xf numFmtId="0" fontId="2" fillId="0" borderId="42" xfId="0" applyFont="1" applyBorder="1"/>
    <xf numFmtId="0" fontId="2" fillId="0" borderId="70" xfId="0" applyFont="1" applyBorder="1"/>
    <xf numFmtId="0" fontId="2" fillId="0" borderId="32" xfId="0" applyFont="1" applyBorder="1"/>
    <xf numFmtId="0" fontId="2" fillId="0" borderId="49" xfId="0" applyFont="1" applyBorder="1"/>
    <xf numFmtId="0" fontId="2" fillId="0" borderId="47" xfId="0" applyFont="1" applyBorder="1"/>
    <xf numFmtId="0" fontId="2" fillId="0" borderId="62" xfId="0" applyFont="1" applyBorder="1"/>
    <xf numFmtId="0" fontId="2" fillId="0" borderId="17" xfId="0" applyFont="1" applyBorder="1"/>
    <xf numFmtId="0" fontId="2" fillId="0" borderId="53" xfId="0" applyFont="1" applyBorder="1"/>
    <xf numFmtId="0" fontId="2" fillId="0" borderId="18" xfId="0" applyFont="1" applyBorder="1"/>
    <xf numFmtId="0" fontId="2" fillId="0" borderId="55" xfId="0" applyFont="1" applyBorder="1"/>
    <xf numFmtId="0" fontId="2" fillId="0" borderId="54" xfId="0" applyFont="1" applyBorder="1"/>
    <xf numFmtId="0" fontId="6" fillId="6" borderId="25" xfId="0" applyFont="1" applyFill="1" applyBorder="1" applyAlignment="1">
      <alignment horizontal="left" wrapText="1"/>
    </xf>
    <xf numFmtId="0" fontId="2" fillId="0" borderId="69" xfId="0" applyFont="1" applyBorder="1"/>
    <xf numFmtId="0" fontId="6" fillId="6" borderId="97" xfId="0" applyFont="1" applyFill="1" applyBorder="1" applyAlignment="1">
      <alignment horizontal="center"/>
    </xf>
    <xf numFmtId="0" fontId="6" fillId="6" borderId="97" xfId="0" applyFont="1" applyFill="1" applyBorder="1" applyAlignment="1">
      <alignment wrapText="1"/>
    </xf>
    <xf numFmtId="0" fontId="6" fillId="6" borderId="88" xfId="0" applyFont="1" applyFill="1" applyBorder="1" applyAlignment="1">
      <alignment horizontal="center"/>
    </xf>
    <xf numFmtId="0" fontId="2" fillId="0" borderId="90" xfId="0" applyFont="1" applyBorder="1"/>
    <xf numFmtId="0" fontId="6" fillId="6" borderId="88" xfId="0" applyFont="1" applyFill="1" applyBorder="1" applyAlignment="1">
      <alignment wrapText="1"/>
    </xf>
    <xf numFmtId="0" fontId="2" fillId="0" borderId="89" xfId="0" applyFont="1" applyBorder="1"/>
    <xf numFmtId="0" fontId="6" fillId="6" borderId="45" xfId="0" applyFont="1" applyFill="1" applyBorder="1" applyAlignment="1">
      <alignment horizontal="center"/>
    </xf>
    <xf numFmtId="0" fontId="2" fillId="0" borderId="46" xfId="0" applyFont="1" applyBorder="1"/>
    <xf numFmtId="0" fontId="6" fillId="6" borderId="113" xfId="0" applyFont="1" applyFill="1" applyBorder="1" applyAlignment="1">
      <alignment horizontal="left" wrapText="1"/>
    </xf>
    <xf numFmtId="0" fontId="2" fillId="0" borderId="51" xfId="0" applyFont="1" applyBorder="1"/>
    <xf numFmtId="0" fontId="2" fillId="0" borderId="52" xfId="0" applyFont="1" applyBorder="1"/>
    <xf numFmtId="0" fontId="6" fillId="6" borderId="50" xfId="0" applyFont="1" applyFill="1" applyBorder="1" applyAlignment="1">
      <alignment horizontal="center"/>
    </xf>
    <xf numFmtId="0" fontId="6" fillId="6" borderId="103" xfId="0" applyFont="1" applyFill="1" applyBorder="1" applyAlignment="1">
      <alignment horizontal="center"/>
    </xf>
    <xf numFmtId="0" fontId="2" fillId="0" borderId="104" xfId="0" applyFont="1" applyBorder="1"/>
    <xf numFmtId="0" fontId="6" fillId="6" borderId="50" xfId="0" applyFont="1" applyFill="1" applyBorder="1" applyAlignment="1">
      <alignment wrapText="1"/>
    </xf>
    <xf numFmtId="0" fontId="6" fillId="6" borderId="110" xfId="0" applyFont="1" applyFill="1" applyBorder="1" applyAlignment="1">
      <alignment horizontal="left" wrapText="1"/>
    </xf>
    <xf numFmtId="0" fontId="2" fillId="0" borderId="43" xfId="0" applyFont="1" applyBorder="1"/>
    <xf numFmtId="0" fontId="10" fillId="7" borderId="61" xfId="0" applyFont="1" applyFill="1" applyBorder="1" applyAlignment="1">
      <alignment horizontal="center" vertical="center" wrapText="1"/>
    </xf>
    <xf numFmtId="0" fontId="2" fillId="0" borderId="71" xfId="0" applyFont="1" applyBorder="1"/>
    <xf numFmtId="0" fontId="2" fillId="0" borderId="82" xfId="0" applyFont="1" applyBorder="1"/>
    <xf numFmtId="0" fontId="10" fillId="0" borderId="21" xfId="0" applyFont="1" applyBorder="1" applyAlignment="1">
      <alignment horizontal="center" vertical="center" wrapText="1"/>
    </xf>
    <xf numFmtId="0" fontId="2" fillId="0" borderId="22" xfId="0" applyFont="1" applyBorder="1"/>
    <xf numFmtId="0" fontId="2" fillId="0" borderId="24" xfId="0" applyFont="1" applyBorder="1"/>
    <xf numFmtId="0" fontId="10" fillId="0" borderId="9" xfId="0" applyFont="1" applyBorder="1" applyAlignment="1">
      <alignment horizontal="center" vertical="center" wrapText="1"/>
    </xf>
    <xf numFmtId="0" fontId="10" fillId="7" borderId="25"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77" xfId="0" applyFont="1" applyFill="1" applyBorder="1" applyAlignment="1">
      <alignment horizontal="center" vertical="center" wrapText="1"/>
    </xf>
    <xf numFmtId="0" fontId="2" fillId="0" borderId="78" xfId="0" applyFont="1" applyBorder="1"/>
    <xf numFmtId="0" fontId="10" fillId="7" borderId="75" xfId="0" applyFont="1" applyFill="1" applyBorder="1" applyAlignment="1">
      <alignment horizontal="center" vertical="center" wrapText="1"/>
    </xf>
    <xf numFmtId="0" fontId="10" fillId="7" borderId="79" xfId="0" applyFont="1" applyFill="1" applyBorder="1" applyAlignment="1">
      <alignment horizontal="center" vertical="center" wrapText="1"/>
    </xf>
    <xf numFmtId="0" fontId="2" fillId="0" borderId="84" xfId="0" applyFont="1" applyBorder="1"/>
    <xf numFmtId="0" fontId="10" fillId="0" borderId="43" xfId="0" applyFont="1" applyBorder="1" applyAlignment="1">
      <alignment horizontal="left" vertical="center"/>
    </xf>
    <xf numFmtId="0" fontId="2" fillId="0" borderId="44" xfId="0" applyFont="1" applyBorder="1"/>
    <xf numFmtId="0" fontId="6" fillId="6" borderId="45" xfId="0" applyFont="1" applyFill="1" applyBorder="1" applyAlignment="1">
      <alignment horizontal="left" vertical="center"/>
    </xf>
    <xf numFmtId="0" fontId="10" fillId="0" borderId="10" xfId="0" applyFont="1" applyBorder="1" applyAlignment="1">
      <alignment horizontal="center" vertical="center"/>
    </xf>
    <xf numFmtId="0" fontId="2" fillId="0" borderId="39" xfId="0" applyFont="1" applyBorder="1"/>
    <xf numFmtId="0" fontId="6" fillId="6" borderId="9" xfId="0" applyFont="1" applyFill="1" applyBorder="1" applyAlignment="1">
      <alignment horizontal="left" vertical="center"/>
    </xf>
    <xf numFmtId="0" fontId="10" fillId="0" borderId="49" xfId="0" applyFont="1" applyBorder="1" applyAlignment="1">
      <alignment horizontal="left" vertical="center"/>
    </xf>
    <xf numFmtId="0" fontId="6" fillId="6" borderId="50" xfId="0" applyFont="1" applyFill="1" applyBorder="1" applyAlignment="1">
      <alignment horizontal="left" vertical="center"/>
    </xf>
    <xf numFmtId="0" fontId="5" fillId="0" borderId="0" xfId="0" applyFont="1" applyAlignment="1">
      <alignment horizontal="center" vertical="center"/>
    </xf>
    <xf numFmtId="0" fontId="3" fillId="0" borderId="21" xfId="0" applyFont="1" applyBorder="1" applyAlignment="1">
      <alignment horizontal="center" vertical="center"/>
    </xf>
    <xf numFmtId="0" fontId="3" fillId="0" borderId="21" xfId="0" applyFont="1" applyBorder="1" applyAlignment="1">
      <alignment horizontal="center"/>
    </xf>
    <xf numFmtId="0" fontId="5" fillId="0" borderId="9" xfId="0" applyFont="1" applyBorder="1" applyAlignment="1">
      <alignment horizontal="center" vertical="center"/>
    </xf>
    <xf numFmtId="0" fontId="10" fillId="0" borderId="11" xfId="0" applyFont="1" applyBorder="1" applyAlignment="1">
      <alignment horizontal="center" vertical="center"/>
    </xf>
    <xf numFmtId="0" fontId="10" fillId="7" borderId="60" xfId="0" applyFont="1" applyFill="1" applyBorder="1" applyAlignment="1">
      <alignment horizontal="center" vertical="center" wrapText="1"/>
    </xf>
    <xf numFmtId="0" fontId="2" fillId="0" borderId="81" xfId="0" applyFont="1" applyBorder="1"/>
    <xf numFmtId="0" fontId="4" fillId="8" borderId="21" xfId="0" applyFont="1" applyFill="1" applyBorder="1"/>
    <xf numFmtId="0" fontId="10" fillId="7" borderId="63" xfId="0" applyFont="1" applyFill="1" applyBorder="1" applyAlignment="1">
      <alignment horizontal="center" vertical="center" wrapText="1"/>
    </xf>
    <xf numFmtId="0" fontId="2" fillId="0" borderId="72" xfId="0" applyFont="1" applyBorder="1"/>
    <xf numFmtId="0" fontId="2" fillId="0" borderId="83" xfId="0" applyFont="1" applyBorder="1"/>
    <xf numFmtId="0" fontId="10" fillId="7" borderId="66" xfId="0" applyFont="1" applyFill="1" applyBorder="1" applyAlignment="1">
      <alignment horizontal="center" vertical="center" wrapText="1"/>
    </xf>
    <xf numFmtId="0" fontId="2" fillId="0" borderId="73" xfId="0" applyFont="1" applyBorder="1"/>
    <xf numFmtId="0" fontId="10" fillId="7" borderId="74" xfId="0" applyFont="1" applyFill="1" applyBorder="1" applyAlignment="1">
      <alignment horizontal="center" vertical="center" wrapText="1"/>
    </xf>
    <xf numFmtId="0" fontId="2" fillId="0" borderId="85" xfId="0" applyFont="1" applyBorder="1"/>
    <xf numFmtId="0" fontId="10" fillId="0" borderId="9" xfId="0" applyFont="1" applyBorder="1" applyAlignment="1">
      <alignment horizontal="center" vertical="center"/>
    </xf>
    <xf numFmtId="0" fontId="2" fillId="0" borderId="56" xfId="0" applyFont="1" applyBorder="1"/>
    <xf numFmtId="0" fontId="10" fillId="0" borderId="41" xfId="0" applyFont="1" applyBorder="1" applyAlignment="1">
      <alignment horizontal="center" vertical="center"/>
    </xf>
    <xf numFmtId="0" fontId="2" fillId="0" borderId="48" xfId="0" applyFont="1" applyBorder="1"/>
    <xf numFmtId="0" fontId="2" fillId="0" borderId="80" xfId="0" applyFont="1" applyBorder="1"/>
    <xf numFmtId="0" fontId="4" fillId="8" borderId="107" xfId="0" applyFont="1" applyFill="1" applyBorder="1"/>
    <xf numFmtId="0" fontId="2" fillId="0" borderId="108" xfId="0" applyFont="1" applyBorder="1"/>
    <xf numFmtId="0" fontId="2" fillId="0" borderId="10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57150</xdr:rowOff>
    </xdr:from>
    <xdr:ext cx="2333625" cy="11049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4A86E8"/>
      </a:hlink>
      <a:folHlink>
        <a:srgbClr val="4A86E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1000"/>
  <sheetViews>
    <sheetView workbookViewId="0"/>
  </sheetViews>
  <sheetFormatPr baseColWidth="10" defaultColWidth="12.6640625" defaultRowHeight="15" customHeight="1" x14ac:dyDescent="0.15"/>
  <sheetData>
    <row r="1" ht="15.75" customHeight="1" x14ac:dyDescent="0.15"/>
    <row r="2" ht="15.75" customHeight="1" x14ac:dyDescent="0.15"/>
    <row r="3" ht="15.75" customHeight="1" x14ac:dyDescent="0.15"/>
    <row r="4" ht="15.75" customHeight="1" x14ac:dyDescent="0.15"/>
    <row r="5" ht="15.75" customHeight="1" x14ac:dyDescent="0.15"/>
    <row r="6" ht="15.75" customHeight="1" x14ac:dyDescent="0.15"/>
    <row r="7" ht="15.75" customHeight="1" x14ac:dyDescent="0.15"/>
    <row r="8" ht="15.75" customHeight="1" x14ac:dyDescent="0.15"/>
    <row r="9" ht="15.75" customHeight="1" x14ac:dyDescent="0.15"/>
    <row r="10" ht="15.75" customHeight="1" x14ac:dyDescent="0.15"/>
    <row r="11" ht="15.75" customHeight="1" x14ac:dyDescent="0.15"/>
    <row r="12" ht="15.75" customHeight="1" x14ac:dyDescent="0.15"/>
    <row r="13" ht="15.75" customHeight="1" x14ac:dyDescent="0.15"/>
    <row r="14" ht="15.75" customHeight="1" x14ac:dyDescent="0.15"/>
    <row r="15" ht="15.75" customHeight="1" x14ac:dyDescent="0.15"/>
    <row r="16"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outlinePr summaryBelow="0"/>
  </sheetPr>
  <dimension ref="A1:AD1000"/>
  <sheetViews>
    <sheetView showGridLines="0" tabSelected="1" workbookViewId="0">
      <pane ySplit="5" topLeftCell="A6" activePane="bottomLeft" state="frozen"/>
      <selection pane="bottomLeft" activeCell="G59" sqref="G59"/>
    </sheetView>
  </sheetViews>
  <sheetFormatPr baseColWidth="10" defaultColWidth="12.6640625" defaultRowHeight="15" customHeight="1" x14ac:dyDescent="0.15"/>
  <cols>
    <col min="1" max="2" width="3.6640625" customWidth="1"/>
    <col min="3" max="3" width="11.33203125" customWidth="1"/>
    <col min="4" max="4" width="7.5" customWidth="1"/>
    <col min="5" max="5" width="3.6640625" customWidth="1"/>
    <col min="7" max="7" width="28.6640625" customWidth="1"/>
    <col min="8" max="11" width="3.6640625" customWidth="1"/>
    <col min="12" max="12" width="37.6640625" customWidth="1"/>
    <col min="13" max="14" width="20.1640625" customWidth="1"/>
    <col min="15" max="16" width="3.6640625" customWidth="1"/>
    <col min="17" max="17" width="37.6640625" customWidth="1"/>
    <col min="18" max="19" width="19.6640625" customWidth="1"/>
    <col min="20" max="21" width="3.6640625" customWidth="1"/>
  </cols>
  <sheetData>
    <row r="1" spans="1:30" ht="15.75" customHeight="1" x14ac:dyDescent="0.15">
      <c r="A1" s="105" t="s">
        <v>0</v>
      </c>
      <c r="B1" s="106"/>
      <c r="C1" s="106"/>
      <c r="D1" s="106"/>
      <c r="E1" s="106"/>
      <c r="F1" s="106"/>
      <c r="G1" s="106"/>
      <c r="H1" s="106"/>
      <c r="I1" s="106"/>
      <c r="J1" s="106"/>
      <c r="K1" s="106"/>
      <c r="L1" s="106"/>
      <c r="M1" s="106"/>
      <c r="N1" s="106"/>
      <c r="O1" s="106"/>
      <c r="P1" s="106"/>
      <c r="Q1" s="106"/>
      <c r="R1" s="106"/>
      <c r="S1" s="106"/>
      <c r="T1" s="106"/>
      <c r="U1" s="107"/>
      <c r="V1" s="1"/>
      <c r="W1" s="1"/>
      <c r="X1" s="1"/>
      <c r="Y1" s="1"/>
      <c r="Z1" s="1"/>
      <c r="AA1" s="1"/>
      <c r="AB1" s="1"/>
      <c r="AC1" s="1"/>
      <c r="AD1" s="1"/>
    </row>
    <row r="2" spans="1:30" ht="15.75" customHeight="1" x14ac:dyDescent="0.15">
      <c r="A2" s="108"/>
      <c r="B2" s="109"/>
      <c r="C2" s="109"/>
      <c r="D2" s="109"/>
      <c r="E2" s="109"/>
      <c r="F2" s="109"/>
      <c r="G2" s="109"/>
      <c r="H2" s="109"/>
      <c r="I2" s="109"/>
      <c r="J2" s="109"/>
      <c r="K2" s="109"/>
      <c r="L2" s="109"/>
      <c r="M2" s="109"/>
      <c r="N2" s="109"/>
      <c r="O2" s="109"/>
      <c r="P2" s="109"/>
      <c r="Q2" s="109"/>
      <c r="R2" s="109"/>
      <c r="S2" s="109"/>
      <c r="T2" s="109"/>
      <c r="U2" s="110"/>
      <c r="V2" s="1"/>
      <c r="W2" s="1"/>
      <c r="X2" s="1"/>
      <c r="Y2" s="1"/>
      <c r="Z2" s="1"/>
      <c r="AA2" s="1"/>
      <c r="AB2" s="1"/>
      <c r="AC2" s="1"/>
      <c r="AD2" s="1"/>
    </row>
    <row r="3" spans="1:30" ht="15.75" customHeight="1" x14ac:dyDescent="0.15">
      <c r="A3" s="108"/>
      <c r="B3" s="109"/>
      <c r="C3" s="109"/>
      <c r="D3" s="109"/>
      <c r="E3" s="109"/>
      <c r="F3" s="109"/>
      <c r="G3" s="109"/>
      <c r="H3" s="109"/>
      <c r="I3" s="109"/>
      <c r="J3" s="109"/>
      <c r="K3" s="109"/>
      <c r="L3" s="109"/>
      <c r="M3" s="109"/>
      <c r="N3" s="109"/>
      <c r="O3" s="109"/>
      <c r="P3" s="109"/>
      <c r="Q3" s="109"/>
      <c r="R3" s="109"/>
      <c r="S3" s="109"/>
      <c r="T3" s="109"/>
      <c r="U3" s="110"/>
      <c r="V3" s="1"/>
      <c r="W3" s="1"/>
      <c r="X3" s="1"/>
      <c r="Y3" s="1"/>
      <c r="Z3" s="1"/>
      <c r="AA3" s="1"/>
      <c r="AB3" s="1"/>
      <c r="AC3" s="1"/>
      <c r="AD3" s="1"/>
    </row>
    <row r="4" spans="1:30" ht="15.75" customHeight="1" x14ac:dyDescent="0.15">
      <c r="A4" s="108"/>
      <c r="B4" s="109"/>
      <c r="C4" s="109"/>
      <c r="D4" s="109"/>
      <c r="E4" s="109"/>
      <c r="F4" s="109"/>
      <c r="G4" s="109"/>
      <c r="H4" s="109"/>
      <c r="I4" s="109"/>
      <c r="J4" s="109"/>
      <c r="K4" s="109"/>
      <c r="L4" s="109"/>
      <c r="M4" s="109"/>
      <c r="N4" s="109"/>
      <c r="O4" s="109"/>
      <c r="P4" s="109"/>
      <c r="Q4" s="109"/>
      <c r="R4" s="109"/>
      <c r="S4" s="109"/>
      <c r="T4" s="109"/>
      <c r="U4" s="110"/>
      <c r="V4" s="1"/>
      <c r="W4" s="1"/>
      <c r="X4" s="1"/>
      <c r="Y4" s="1"/>
      <c r="Z4" s="1"/>
      <c r="AA4" s="1"/>
      <c r="AB4" s="1"/>
      <c r="AC4" s="1"/>
      <c r="AD4" s="1"/>
    </row>
    <row r="5" spans="1:30" ht="15.75" customHeight="1" x14ac:dyDescent="0.15">
      <c r="A5" s="111"/>
      <c r="B5" s="112"/>
      <c r="C5" s="112"/>
      <c r="D5" s="112"/>
      <c r="E5" s="112"/>
      <c r="F5" s="112"/>
      <c r="G5" s="112"/>
      <c r="H5" s="112"/>
      <c r="I5" s="112"/>
      <c r="J5" s="112"/>
      <c r="K5" s="112"/>
      <c r="L5" s="112"/>
      <c r="M5" s="112"/>
      <c r="N5" s="112"/>
      <c r="O5" s="112"/>
      <c r="P5" s="112"/>
      <c r="Q5" s="112"/>
      <c r="R5" s="112"/>
      <c r="S5" s="112"/>
      <c r="T5" s="112"/>
      <c r="U5" s="113"/>
      <c r="V5" s="1"/>
      <c r="W5" s="1"/>
      <c r="X5" s="1"/>
      <c r="Y5" s="1"/>
      <c r="Z5" s="1"/>
      <c r="AA5" s="1"/>
      <c r="AB5" s="1"/>
      <c r="AC5" s="1"/>
      <c r="AD5" s="1"/>
    </row>
    <row r="6" spans="1:30" ht="15.75" customHeight="1" x14ac:dyDescent="0.15">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5.75" customHeight="1" x14ac:dyDescent="0.15">
      <c r="A7" s="1"/>
      <c r="B7" s="114" t="s">
        <v>2</v>
      </c>
      <c r="C7" s="115"/>
      <c r="D7" s="115"/>
      <c r="E7" s="115"/>
      <c r="F7" s="115"/>
      <c r="G7" s="115"/>
      <c r="H7" s="116"/>
      <c r="I7" s="1"/>
      <c r="J7" s="114" t="s">
        <v>3</v>
      </c>
      <c r="K7" s="115"/>
      <c r="L7" s="115"/>
      <c r="M7" s="115"/>
      <c r="N7" s="115"/>
      <c r="O7" s="115"/>
      <c r="P7" s="115"/>
      <c r="Q7" s="115"/>
      <c r="R7" s="115"/>
      <c r="S7" s="115"/>
      <c r="T7" s="116"/>
      <c r="U7" s="1"/>
      <c r="V7" s="1"/>
      <c r="W7" s="1"/>
      <c r="X7" s="1"/>
      <c r="Y7" s="1"/>
      <c r="Z7" s="1"/>
      <c r="AA7" s="1"/>
      <c r="AB7" s="1"/>
      <c r="AC7" s="1"/>
      <c r="AD7" s="1"/>
    </row>
    <row r="8" spans="1:30" ht="15.75" customHeight="1" x14ac:dyDescent="0.15">
      <c r="A8" s="1"/>
      <c r="B8" s="117"/>
      <c r="C8" s="112"/>
      <c r="D8" s="112"/>
      <c r="E8" s="112"/>
      <c r="F8" s="112"/>
      <c r="G8" s="112"/>
      <c r="H8" s="118"/>
      <c r="I8" s="1"/>
      <c r="J8" s="117"/>
      <c r="K8" s="112"/>
      <c r="L8" s="112"/>
      <c r="M8" s="112"/>
      <c r="N8" s="112"/>
      <c r="O8" s="112"/>
      <c r="P8" s="112"/>
      <c r="Q8" s="112"/>
      <c r="R8" s="112"/>
      <c r="S8" s="112"/>
      <c r="T8" s="118"/>
      <c r="U8" s="1"/>
      <c r="V8" s="1"/>
      <c r="W8" s="1"/>
      <c r="X8" s="1"/>
      <c r="Y8" s="1"/>
      <c r="Z8" s="1"/>
      <c r="AA8" s="1"/>
      <c r="AB8" s="1"/>
      <c r="AC8" s="1"/>
      <c r="AD8" s="1"/>
    </row>
    <row r="9" spans="1:30" ht="15" customHeight="1" x14ac:dyDescent="0.15">
      <c r="A9" s="1"/>
      <c r="B9" s="3"/>
      <c r="C9" s="4"/>
      <c r="D9" s="4"/>
      <c r="E9" s="4"/>
      <c r="F9" s="4"/>
      <c r="G9" s="4"/>
      <c r="H9" s="6"/>
      <c r="I9" s="1"/>
      <c r="J9" s="3"/>
      <c r="K9" s="4"/>
      <c r="L9" s="4"/>
      <c r="M9" s="4"/>
      <c r="N9" s="4"/>
      <c r="O9" s="4"/>
      <c r="P9" s="4"/>
      <c r="Q9" s="4"/>
      <c r="R9" s="4"/>
      <c r="S9" s="4"/>
      <c r="T9" s="6"/>
      <c r="U9" s="1"/>
      <c r="V9" s="1"/>
      <c r="W9" s="1"/>
      <c r="X9" s="1"/>
      <c r="Y9" s="1"/>
      <c r="Z9" s="1"/>
      <c r="AA9" s="1"/>
      <c r="AB9" s="1"/>
      <c r="AC9" s="1"/>
      <c r="AD9" s="1"/>
    </row>
    <row r="10" spans="1:30" ht="15" customHeight="1" x14ac:dyDescent="0.15">
      <c r="A10" s="1"/>
      <c r="B10" s="3"/>
      <c r="C10" s="119" t="s">
        <v>4</v>
      </c>
      <c r="D10" s="120"/>
      <c r="E10" s="12" t="s">
        <v>5</v>
      </c>
      <c r="F10" s="121"/>
      <c r="G10" s="122"/>
      <c r="H10" s="6"/>
      <c r="I10" s="1"/>
      <c r="J10" s="3"/>
      <c r="K10" s="14" t="s">
        <v>7</v>
      </c>
      <c r="L10" s="15"/>
      <c r="M10" s="16" t="s">
        <v>8</v>
      </c>
      <c r="N10" s="16" t="s">
        <v>9</v>
      </c>
      <c r="O10" s="4"/>
      <c r="P10" s="14" t="s">
        <v>10</v>
      </c>
      <c r="Q10" s="18"/>
      <c r="R10" s="16" t="s">
        <v>8</v>
      </c>
      <c r="S10" s="16" t="s">
        <v>9</v>
      </c>
      <c r="T10" s="6"/>
      <c r="U10" s="1"/>
      <c r="V10" s="1"/>
      <c r="W10" s="1"/>
      <c r="X10" s="1"/>
      <c r="Y10" s="1"/>
      <c r="Z10" s="1"/>
      <c r="AA10" s="1"/>
      <c r="AB10" s="1"/>
      <c r="AC10" s="1"/>
      <c r="AD10" s="1"/>
    </row>
    <row r="11" spans="1:30" ht="15" customHeight="1" x14ac:dyDescent="0.15">
      <c r="A11" s="1"/>
      <c r="B11" s="3"/>
      <c r="C11" s="119" t="s">
        <v>6</v>
      </c>
      <c r="D11" s="120"/>
      <c r="E11" s="12" t="s">
        <v>5</v>
      </c>
      <c r="F11" s="19"/>
      <c r="G11" s="20"/>
      <c r="H11" s="6"/>
      <c r="I11" s="1"/>
      <c r="J11" s="3"/>
      <c r="K11" s="21">
        <v>1</v>
      </c>
      <c r="L11" s="22"/>
      <c r="M11" s="24"/>
      <c r="N11" s="25"/>
      <c r="O11" s="4"/>
      <c r="P11" s="21">
        <v>1</v>
      </c>
      <c r="Q11" s="26"/>
      <c r="R11" s="25"/>
      <c r="S11" s="25"/>
      <c r="T11" s="6"/>
      <c r="U11" s="1"/>
      <c r="V11" s="1"/>
      <c r="W11" s="1"/>
      <c r="X11" s="1"/>
      <c r="Y11" s="1"/>
      <c r="Z11" s="1"/>
      <c r="AA11" s="1"/>
      <c r="AB11" s="1"/>
      <c r="AC11" s="1"/>
      <c r="AD11" s="1"/>
    </row>
    <row r="12" spans="1:30" ht="15" customHeight="1" x14ac:dyDescent="0.15">
      <c r="A12" s="1"/>
      <c r="B12" s="3"/>
      <c r="C12" s="119" t="s">
        <v>14</v>
      </c>
      <c r="D12" s="120"/>
      <c r="E12" s="12" t="s">
        <v>5</v>
      </c>
      <c r="F12" s="19"/>
      <c r="G12" s="20"/>
      <c r="H12" s="6"/>
      <c r="I12" s="1"/>
      <c r="J12" s="3"/>
      <c r="K12" s="21">
        <v>2</v>
      </c>
      <c r="L12" s="22"/>
      <c r="M12" s="24"/>
      <c r="N12" s="25"/>
      <c r="O12" s="4"/>
      <c r="P12" s="21">
        <v>2</v>
      </c>
      <c r="Q12" s="26"/>
      <c r="R12" s="25"/>
      <c r="S12" s="25"/>
      <c r="T12" s="6"/>
      <c r="U12" s="1"/>
      <c r="V12" s="1"/>
      <c r="W12" s="1"/>
      <c r="X12" s="1"/>
      <c r="Y12" s="1"/>
      <c r="Z12" s="1"/>
      <c r="AA12" s="1"/>
      <c r="AB12" s="1"/>
      <c r="AC12" s="1"/>
      <c r="AD12" s="1"/>
    </row>
    <row r="13" spans="1:30" ht="15" customHeight="1" x14ac:dyDescent="0.15">
      <c r="A13" s="1"/>
      <c r="B13" s="3"/>
      <c r="C13" s="119" t="s">
        <v>16</v>
      </c>
      <c r="D13" s="120"/>
      <c r="E13" s="12" t="s">
        <v>5</v>
      </c>
      <c r="F13" s="19"/>
      <c r="G13" s="20"/>
      <c r="H13" s="6"/>
      <c r="I13" s="1"/>
      <c r="J13" s="3"/>
      <c r="K13" s="21">
        <v>3</v>
      </c>
      <c r="L13" s="22"/>
      <c r="M13" s="24"/>
      <c r="N13" s="25"/>
      <c r="O13" s="4"/>
      <c r="P13" s="21">
        <v>3</v>
      </c>
      <c r="Q13" s="26"/>
      <c r="R13" s="25"/>
      <c r="S13" s="25"/>
      <c r="T13" s="6"/>
      <c r="U13" s="1"/>
      <c r="V13" s="1"/>
      <c r="W13" s="1"/>
      <c r="X13" s="1"/>
      <c r="Y13" s="1"/>
      <c r="Z13" s="1"/>
      <c r="AA13" s="1"/>
      <c r="AB13" s="1"/>
      <c r="AC13" s="1"/>
      <c r="AD13" s="1"/>
    </row>
    <row r="14" spans="1:30" ht="15" customHeight="1" x14ac:dyDescent="0.15">
      <c r="A14" s="1"/>
      <c r="B14" s="3"/>
      <c r="C14" s="4"/>
      <c r="D14" s="4"/>
      <c r="E14" s="4"/>
      <c r="F14" s="4"/>
      <c r="G14" s="4"/>
      <c r="H14" s="6"/>
      <c r="I14" s="1"/>
      <c r="J14" s="3"/>
      <c r="K14" s="21">
        <v>4</v>
      </c>
      <c r="L14" s="26"/>
      <c r="M14" s="32"/>
      <c r="N14" s="34"/>
      <c r="O14" s="4"/>
      <c r="P14" s="21">
        <v>4</v>
      </c>
      <c r="Q14" s="26"/>
      <c r="R14" s="34"/>
      <c r="S14" s="34"/>
      <c r="T14" s="6"/>
      <c r="U14" s="1"/>
      <c r="V14" s="1"/>
      <c r="W14" s="1"/>
      <c r="X14" s="1"/>
      <c r="Y14" s="1"/>
      <c r="Z14" s="1"/>
      <c r="AA14" s="1"/>
      <c r="AB14" s="1"/>
      <c r="AC14" s="1"/>
      <c r="AD14" s="1"/>
    </row>
    <row r="15" spans="1:30" ht="15" customHeight="1" x14ac:dyDescent="0.15">
      <c r="A15" s="1"/>
      <c r="B15" s="3"/>
      <c r="C15" s="119" t="s">
        <v>13</v>
      </c>
      <c r="D15" s="120"/>
      <c r="E15" s="12" t="s">
        <v>5</v>
      </c>
      <c r="F15" s="124"/>
      <c r="G15" s="120"/>
      <c r="H15" s="6"/>
      <c r="I15" s="1"/>
      <c r="J15" s="3"/>
      <c r="K15" s="21">
        <v>5</v>
      </c>
      <c r="L15" s="26"/>
      <c r="M15" s="32"/>
      <c r="N15" s="34"/>
      <c r="O15" s="4"/>
      <c r="P15" s="21">
        <v>5</v>
      </c>
      <c r="Q15" s="26"/>
      <c r="R15" s="34"/>
      <c r="S15" s="34"/>
      <c r="T15" s="6"/>
      <c r="U15" s="1"/>
      <c r="V15" s="1"/>
      <c r="W15" s="1"/>
      <c r="X15" s="1"/>
      <c r="Y15" s="1"/>
      <c r="Z15" s="1"/>
      <c r="AA15" s="1"/>
      <c r="AB15" s="1"/>
      <c r="AC15" s="1"/>
      <c r="AD15" s="1"/>
    </row>
    <row r="16" spans="1:30" ht="15" customHeight="1" x14ac:dyDescent="0.15">
      <c r="A16" s="1"/>
      <c r="B16" s="3"/>
      <c r="C16" s="125" t="s">
        <v>12</v>
      </c>
      <c r="D16" s="126"/>
      <c r="E16" s="129" t="s">
        <v>5</v>
      </c>
      <c r="F16" s="131"/>
      <c r="G16" s="132"/>
      <c r="H16" s="6"/>
      <c r="I16" s="1"/>
      <c r="J16" s="3"/>
      <c r="K16" s="21">
        <v>6</v>
      </c>
      <c r="L16" s="26"/>
      <c r="M16" s="32"/>
      <c r="N16" s="34"/>
      <c r="O16" s="4"/>
      <c r="P16" s="21">
        <v>6</v>
      </c>
      <c r="Q16" s="26"/>
      <c r="R16" s="34"/>
      <c r="S16" s="34"/>
      <c r="T16" s="6"/>
      <c r="U16" s="1"/>
      <c r="V16" s="1"/>
      <c r="W16" s="1"/>
      <c r="X16" s="1"/>
      <c r="Y16" s="1"/>
      <c r="Z16" s="1"/>
      <c r="AA16" s="1"/>
      <c r="AB16" s="1"/>
      <c r="AC16" s="1"/>
      <c r="AD16" s="1"/>
    </row>
    <row r="17" spans="1:30" ht="15" customHeight="1" x14ac:dyDescent="0.15">
      <c r="A17" s="1"/>
      <c r="B17" s="3"/>
      <c r="C17" s="127"/>
      <c r="D17" s="128"/>
      <c r="E17" s="130"/>
      <c r="F17" s="133"/>
      <c r="G17" s="134"/>
      <c r="H17" s="6"/>
      <c r="I17" s="1"/>
      <c r="J17" s="3"/>
      <c r="K17" s="21">
        <v>7</v>
      </c>
      <c r="L17" s="26"/>
      <c r="M17" s="32"/>
      <c r="N17" s="34"/>
      <c r="O17" s="4"/>
      <c r="P17" s="21">
        <v>7</v>
      </c>
      <c r="Q17" s="26"/>
      <c r="R17" s="34"/>
      <c r="S17" s="34"/>
      <c r="T17" s="6"/>
      <c r="U17" s="1"/>
      <c r="V17" s="1"/>
      <c r="W17" s="1"/>
      <c r="X17" s="1"/>
      <c r="Y17" s="1"/>
      <c r="Z17" s="1"/>
      <c r="AA17" s="1"/>
      <c r="AB17" s="1"/>
      <c r="AC17" s="1"/>
      <c r="AD17" s="1"/>
    </row>
    <row r="18" spans="1:30" ht="15" customHeight="1" x14ac:dyDescent="0.15">
      <c r="A18" s="1"/>
      <c r="B18" s="3"/>
      <c r="C18" s="119" t="s">
        <v>15</v>
      </c>
      <c r="D18" s="120"/>
      <c r="E18" s="12" t="s">
        <v>5</v>
      </c>
      <c r="F18" s="124"/>
      <c r="G18" s="122"/>
      <c r="H18" s="6"/>
      <c r="I18" s="1"/>
      <c r="J18" s="3"/>
      <c r="K18" s="21">
        <v>8</v>
      </c>
      <c r="L18" s="26"/>
      <c r="M18" s="32"/>
      <c r="N18" s="34"/>
      <c r="O18" s="4"/>
      <c r="P18" s="21">
        <v>8</v>
      </c>
      <c r="Q18" s="26"/>
      <c r="R18" s="34"/>
      <c r="S18" s="34"/>
      <c r="T18" s="6"/>
      <c r="U18" s="1"/>
      <c r="V18" s="1"/>
      <c r="W18" s="1"/>
      <c r="X18" s="1"/>
      <c r="Y18" s="1"/>
      <c r="Z18" s="1"/>
      <c r="AA18" s="1"/>
      <c r="AB18" s="1"/>
      <c r="AC18" s="1"/>
      <c r="AD18" s="1"/>
    </row>
    <row r="19" spans="1:30" ht="15" customHeight="1" x14ac:dyDescent="0.15">
      <c r="A19" s="1"/>
      <c r="B19" s="3"/>
      <c r="C19" s="119" t="s">
        <v>23</v>
      </c>
      <c r="D19" s="120"/>
      <c r="E19" s="12" t="s">
        <v>5</v>
      </c>
      <c r="F19" s="121"/>
      <c r="G19" s="122"/>
      <c r="H19" s="6"/>
      <c r="I19" s="1"/>
      <c r="J19" s="3"/>
      <c r="K19" s="21">
        <v>9</v>
      </c>
      <c r="L19" s="26"/>
      <c r="M19" s="32"/>
      <c r="N19" s="34"/>
      <c r="O19" s="4"/>
      <c r="P19" s="21">
        <v>9</v>
      </c>
      <c r="Q19" s="26"/>
      <c r="R19" s="34"/>
      <c r="S19" s="34"/>
      <c r="T19" s="6"/>
      <c r="U19" s="1"/>
      <c r="V19" s="1"/>
      <c r="W19" s="1"/>
      <c r="X19" s="1"/>
      <c r="Y19" s="1"/>
      <c r="Z19" s="1"/>
      <c r="AA19" s="1"/>
      <c r="AB19" s="1"/>
      <c r="AC19" s="1"/>
      <c r="AD19" s="1"/>
    </row>
    <row r="20" spans="1:30" ht="15" customHeight="1" x14ac:dyDescent="0.15">
      <c r="A20" s="1"/>
      <c r="B20" s="35"/>
      <c r="C20" s="36"/>
      <c r="D20" s="36"/>
      <c r="E20" s="36"/>
      <c r="F20" s="36"/>
      <c r="G20" s="36"/>
      <c r="H20" s="37"/>
      <c r="I20" s="1"/>
      <c r="J20" s="3"/>
      <c r="K20" s="21">
        <v>10</v>
      </c>
      <c r="L20" s="26"/>
      <c r="M20" s="32"/>
      <c r="N20" s="34"/>
      <c r="O20" s="4"/>
      <c r="P20" s="21">
        <v>10</v>
      </c>
      <c r="Q20" s="26"/>
      <c r="R20" s="34"/>
      <c r="S20" s="34"/>
      <c r="T20" s="6"/>
      <c r="U20" s="1"/>
      <c r="V20" s="1"/>
      <c r="W20" s="1"/>
      <c r="X20" s="1"/>
      <c r="Y20" s="1"/>
      <c r="Z20" s="1"/>
      <c r="AA20" s="1"/>
      <c r="AB20" s="1"/>
      <c r="AC20" s="1"/>
      <c r="AD20" s="1"/>
    </row>
    <row r="21" spans="1:30" ht="15" customHeight="1" x14ac:dyDescent="0.15">
      <c r="A21" s="11"/>
      <c r="B21" s="11"/>
      <c r="C21" s="11"/>
      <c r="D21" s="11"/>
      <c r="E21" s="11"/>
      <c r="F21" s="11"/>
      <c r="G21" s="11"/>
      <c r="H21" s="11"/>
      <c r="I21" s="1"/>
      <c r="J21" s="3"/>
      <c r="K21" s="21">
        <v>11</v>
      </c>
      <c r="L21" s="26"/>
      <c r="M21" s="32"/>
      <c r="N21" s="34"/>
      <c r="O21" s="4"/>
      <c r="P21" s="21">
        <v>11</v>
      </c>
      <c r="Q21" s="26"/>
      <c r="R21" s="34"/>
      <c r="S21" s="34"/>
      <c r="T21" s="6"/>
      <c r="U21" s="1"/>
      <c r="V21" s="1"/>
      <c r="W21" s="1"/>
      <c r="X21" s="1"/>
      <c r="Y21" s="1"/>
      <c r="Z21" s="1"/>
      <c r="AA21" s="1"/>
      <c r="AB21" s="1"/>
      <c r="AC21" s="1"/>
      <c r="AD21" s="1"/>
    </row>
    <row r="22" spans="1:30" ht="15" customHeight="1" x14ac:dyDescent="0.15">
      <c r="A22" s="11"/>
      <c r="B22" s="11"/>
      <c r="C22" s="11"/>
      <c r="D22" s="11"/>
      <c r="E22" s="11"/>
      <c r="F22" s="11"/>
      <c r="G22" s="11"/>
      <c r="H22" s="11"/>
      <c r="I22" s="1"/>
      <c r="J22" s="3"/>
      <c r="K22" s="21">
        <v>12</v>
      </c>
      <c r="L22" s="26"/>
      <c r="M22" s="32"/>
      <c r="N22" s="34"/>
      <c r="O22" s="4"/>
      <c r="P22" s="21">
        <v>12</v>
      </c>
      <c r="Q22" s="26"/>
      <c r="R22" s="34"/>
      <c r="S22" s="34"/>
      <c r="T22" s="6"/>
      <c r="U22" s="1"/>
      <c r="V22" s="1"/>
      <c r="W22" s="1"/>
      <c r="X22" s="1"/>
      <c r="Y22" s="1"/>
      <c r="Z22" s="1"/>
      <c r="AA22" s="1"/>
      <c r="AB22" s="1"/>
      <c r="AC22" s="1"/>
      <c r="AD22" s="1"/>
    </row>
    <row r="23" spans="1:30" ht="15" customHeight="1" x14ac:dyDescent="0.15">
      <c r="A23" s="1"/>
      <c r="B23" s="114" t="s">
        <v>34</v>
      </c>
      <c r="C23" s="115"/>
      <c r="D23" s="115"/>
      <c r="E23" s="115"/>
      <c r="F23" s="115"/>
      <c r="G23" s="115"/>
      <c r="H23" s="116"/>
      <c r="I23" s="1"/>
      <c r="J23" s="3"/>
      <c r="K23" s="21">
        <v>13</v>
      </c>
      <c r="L23" s="26"/>
      <c r="M23" s="32"/>
      <c r="N23" s="34"/>
      <c r="O23" s="4"/>
      <c r="P23" s="21">
        <v>13</v>
      </c>
      <c r="Q23" s="26"/>
      <c r="R23" s="34"/>
      <c r="S23" s="34"/>
      <c r="T23" s="6"/>
      <c r="U23" s="1"/>
      <c r="V23" s="1"/>
      <c r="W23" s="1"/>
      <c r="X23" s="1"/>
      <c r="Y23" s="1"/>
      <c r="Z23" s="1"/>
      <c r="AA23" s="1"/>
      <c r="AB23" s="1"/>
      <c r="AC23" s="1"/>
      <c r="AD23" s="1"/>
    </row>
    <row r="24" spans="1:30" ht="15" customHeight="1" x14ac:dyDescent="0.15">
      <c r="A24" s="1"/>
      <c r="B24" s="117"/>
      <c r="C24" s="112"/>
      <c r="D24" s="112"/>
      <c r="E24" s="112"/>
      <c r="F24" s="112"/>
      <c r="G24" s="112"/>
      <c r="H24" s="118"/>
      <c r="I24" s="1"/>
      <c r="J24" s="3"/>
      <c r="K24" s="21">
        <v>14</v>
      </c>
      <c r="L24" s="26"/>
      <c r="M24" s="32"/>
      <c r="N24" s="34"/>
      <c r="O24" s="4"/>
      <c r="P24" s="21">
        <v>14</v>
      </c>
      <c r="Q24" s="26"/>
      <c r="R24" s="34"/>
      <c r="S24" s="34"/>
      <c r="T24" s="6"/>
      <c r="U24" s="1"/>
      <c r="V24" s="1"/>
      <c r="W24" s="1"/>
      <c r="X24" s="1"/>
      <c r="Y24" s="1"/>
      <c r="Z24" s="1"/>
      <c r="AA24" s="1"/>
      <c r="AB24" s="1"/>
      <c r="AC24" s="1"/>
      <c r="AD24" s="1"/>
    </row>
    <row r="25" spans="1:30" ht="15" customHeight="1" x14ac:dyDescent="0.15">
      <c r="A25" s="1"/>
      <c r="B25" s="3"/>
      <c r="C25" s="4"/>
      <c r="D25" s="4"/>
      <c r="E25" s="4"/>
      <c r="F25" s="4"/>
      <c r="G25" s="4"/>
      <c r="H25" s="6"/>
      <c r="I25" s="1"/>
      <c r="J25" s="3"/>
      <c r="K25" s="21">
        <v>15</v>
      </c>
      <c r="L25" s="26"/>
      <c r="M25" s="32"/>
      <c r="N25" s="34"/>
      <c r="O25" s="4"/>
      <c r="P25" s="21">
        <v>15</v>
      </c>
      <c r="Q25" s="26"/>
      <c r="R25" s="34"/>
      <c r="S25" s="34"/>
      <c r="T25" s="6"/>
      <c r="U25" s="1"/>
      <c r="V25" s="1"/>
      <c r="W25" s="1"/>
      <c r="X25" s="1"/>
      <c r="Y25" s="1"/>
      <c r="Z25" s="1"/>
      <c r="AA25" s="1"/>
      <c r="AB25" s="1"/>
      <c r="AC25" s="1"/>
      <c r="AD25" s="1"/>
    </row>
    <row r="26" spans="1:30" ht="15" customHeight="1" x14ac:dyDescent="0.15">
      <c r="A26" s="1"/>
      <c r="B26" s="3"/>
      <c r="C26" s="38" t="s">
        <v>22</v>
      </c>
      <c r="D26" s="39"/>
      <c r="E26" s="40" t="s">
        <v>5</v>
      </c>
      <c r="F26" s="121"/>
      <c r="G26" s="122"/>
      <c r="H26" s="6"/>
      <c r="I26" s="1"/>
      <c r="J26" s="3"/>
      <c r="K26" s="21">
        <v>16</v>
      </c>
      <c r="L26" s="26"/>
      <c r="M26" s="32"/>
      <c r="N26" s="34"/>
      <c r="O26" s="4"/>
      <c r="P26" s="21">
        <v>16</v>
      </c>
      <c r="Q26" s="26"/>
      <c r="R26" s="34"/>
      <c r="S26" s="34"/>
      <c r="T26" s="6"/>
      <c r="U26" s="1"/>
      <c r="V26" s="1"/>
      <c r="W26" s="1"/>
      <c r="X26" s="1"/>
      <c r="Y26" s="1"/>
      <c r="Z26" s="1"/>
      <c r="AA26" s="1"/>
      <c r="AB26" s="1"/>
      <c r="AC26" s="1"/>
      <c r="AD26" s="1"/>
    </row>
    <row r="27" spans="1:30" ht="15" customHeight="1" x14ac:dyDescent="0.15">
      <c r="A27" s="1"/>
      <c r="B27" s="3"/>
      <c r="C27" s="119" t="s">
        <v>21</v>
      </c>
      <c r="D27" s="120"/>
      <c r="E27" s="12" t="s">
        <v>5</v>
      </c>
      <c r="F27" s="41"/>
      <c r="G27" s="42" t="s">
        <v>35</v>
      </c>
      <c r="H27" s="6"/>
      <c r="I27" s="1"/>
      <c r="J27" s="3"/>
      <c r="K27" s="21">
        <v>17</v>
      </c>
      <c r="L27" s="26"/>
      <c r="M27" s="32"/>
      <c r="N27" s="34"/>
      <c r="O27" s="4"/>
      <c r="P27" s="21">
        <v>17</v>
      </c>
      <c r="Q27" s="26"/>
      <c r="R27" s="34"/>
      <c r="S27" s="34"/>
      <c r="T27" s="6"/>
      <c r="U27" s="1"/>
      <c r="V27" s="1"/>
      <c r="W27" s="1"/>
      <c r="X27" s="1"/>
      <c r="Y27" s="1"/>
      <c r="Z27" s="1"/>
      <c r="AA27" s="1"/>
      <c r="AB27" s="1"/>
      <c r="AC27" s="1"/>
      <c r="AD27" s="1"/>
    </row>
    <row r="28" spans="1:30" ht="15" customHeight="1" x14ac:dyDescent="0.15">
      <c r="A28" s="1"/>
      <c r="B28" s="3"/>
      <c r="C28" s="43" t="s">
        <v>24</v>
      </c>
      <c r="D28" s="44"/>
      <c r="E28" s="45" t="s">
        <v>5</v>
      </c>
      <c r="F28" s="121"/>
      <c r="G28" s="122"/>
      <c r="H28" s="6"/>
      <c r="I28" s="1"/>
      <c r="J28" s="3"/>
      <c r="K28" s="21">
        <v>18</v>
      </c>
      <c r="L28" s="26"/>
      <c r="M28" s="32"/>
      <c r="N28" s="34"/>
      <c r="O28" s="4"/>
      <c r="P28" s="21">
        <v>18</v>
      </c>
      <c r="Q28" s="26"/>
      <c r="R28" s="34"/>
      <c r="S28" s="34"/>
      <c r="T28" s="6"/>
      <c r="U28" s="1"/>
      <c r="V28" s="1"/>
      <c r="W28" s="1"/>
      <c r="X28" s="1"/>
      <c r="Y28" s="1"/>
      <c r="Z28" s="1"/>
      <c r="AA28" s="1"/>
      <c r="AB28" s="1"/>
      <c r="AC28" s="1"/>
      <c r="AD28" s="1"/>
    </row>
    <row r="29" spans="1:30" ht="15" customHeight="1" x14ac:dyDescent="0.15">
      <c r="A29" s="1"/>
      <c r="B29" s="3"/>
      <c r="C29" s="4"/>
      <c r="D29" s="4"/>
      <c r="E29" s="4"/>
      <c r="F29" s="4"/>
      <c r="G29" s="4"/>
      <c r="H29" s="6"/>
      <c r="I29" s="1"/>
      <c r="J29" s="3"/>
      <c r="K29" s="21">
        <v>19</v>
      </c>
      <c r="L29" s="26"/>
      <c r="M29" s="32"/>
      <c r="N29" s="34"/>
      <c r="O29" s="4"/>
      <c r="P29" s="21">
        <v>19</v>
      </c>
      <c r="Q29" s="26"/>
      <c r="R29" s="34"/>
      <c r="S29" s="34"/>
      <c r="T29" s="6"/>
      <c r="U29" s="1"/>
      <c r="V29" s="1"/>
      <c r="W29" s="1"/>
      <c r="X29" s="1"/>
      <c r="Y29" s="1"/>
      <c r="Z29" s="1"/>
      <c r="AA29" s="1"/>
      <c r="AB29" s="1"/>
      <c r="AC29" s="1"/>
      <c r="AD29" s="1"/>
    </row>
    <row r="30" spans="1:30" ht="15" customHeight="1" x14ac:dyDescent="0.15">
      <c r="A30" s="1"/>
      <c r="B30" s="46"/>
      <c r="C30" s="123" t="s">
        <v>43</v>
      </c>
      <c r="D30" s="106"/>
      <c r="E30" s="106"/>
      <c r="F30" s="106"/>
      <c r="G30" s="107"/>
      <c r="H30" s="47"/>
      <c r="I30" s="1"/>
      <c r="J30" s="3"/>
      <c r="K30" s="21">
        <v>20</v>
      </c>
      <c r="L30" s="26"/>
      <c r="M30" s="32"/>
      <c r="N30" s="34"/>
      <c r="O30" s="4"/>
      <c r="P30" s="21">
        <v>20</v>
      </c>
      <c r="Q30" s="26"/>
      <c r="R30" s="34"/>
      <c r="S30" s="34"/>
      <c r="T30" s="6"/>
      <c r="U30" s="1"/>
      <c r="V30" s="1"/>
      <c r="W30" s="1"/>
      <c r="X30" s="1"/>
      <c r="Y30" s="1"/>
      <c r="Z30" s="1"/>
      <c r="AA30" s="1"/>
      <c r="AB30" s="1"/>
      <c r="AC30" s="1"/>
      <c r="AD30" s="1"/>
    </row>
    <row r="31" spans="1:30" ht="15" customHeight="1" x14ac:dyDescent="0.15">
      <c r="A31" s="1"/>
      <c r="B31" s="46"/>
      <c r="C31" s="108"/>
      <c r="D31" s="109"/>
      <c r="E31" s="109"/>
      <c r="F31" s="109"/>
      <c r="G31" s="110"/>
      <c r="H31" s="47"/>
      <c r="I31" s="1"/>
      <c r="J31" s="3"/>
      <c r="K31" s="21">
        <v>21</v>
      </c>
      <c r="L31" s="26"/>
      <c r="M31" s="32"/>
      <c r="N31" s="34"/>
      <c r="O31" s="4"/>
      <c r="P31" s="21">
        <v>21</v>
      </c>
      <c r="Q31" s="26"/>
      <c r="R31" s="34"/>
      <c r="S31" s="34"/>
      <c r="T31" s="6"/>
      <c r="U31" s="1"/>
      <c r="V31" s="1"/>
      <c r="W31" s="1"/>
      <c r="X31" s="1"/>
      <c r="Y31" s="1"/>
      <c r="Z31" s="1"/>
      <c r="AA31" s="1"/>
      <c r="AB31" s="1"/>
      <c r="AC31" s="1"/>
      <c r="AD31" s="1"/>
    </row>
    <row r="32" spans="1:30" ht="15" customHeight="1" x14ac:dyDescent="0.15">
      <c r="A32" s="1"/>
      <c r="B32" s="46"/>
      <c r="C32" s="111"/>
      <c r="D32" s="112"/>
      <c r="E32" s="112"/>
      <c r="F32" s="112"/>
      <c r="G32" s="113"/>
      <c r="H32" s="47"/>
      <c r="I32" s="1"/>
      <c r="J32" s="3"/>
      <c r="K32" s="21">
        <v>22</v>
      </c>
      <c r="L32" s="26"/>
      <c r="M32" s="32"/>
      <c r="N32" s="34"/>
      <c r="O32" s="4"/>
      <c r="P32" s="21">
        <v>22</v>
      </c>
      <c r="Q32" s="26"/>
      <c r="R32" s="34"/>
      <c r="S32" s="34"/>
      <c r="T32" s="6"/>
      <c r="U32" s="1"/>
      <c r="V32" s="1"/>
      <c r="W32" s="1"/>
      <c r="X32" s="1"/>
      <c r="Y32" s="1"/>
      <c r="Z32" s="1"/>
      <c r="AA32" s="1"/>
      <c r="AB32" s="1"/>
      <c r="AC32" s="1"/>
      <c r="AD32" s="1"/>
    </row>
    <row r="33" spans="1:30" ht="15" customHeight="1" x14ac:dyDescent="0.15">
      <c r="A33" s="1"/>
      <c r="B33" s="49"/>
      <c r="C33" s="50"/>
      <c r="D33" s="50"/>
      <c r="E33" s="50"/>
      <c r="F33" s="50"/>
      <c r="G33" s="50"/>
      <c r="H33" s="51"/>
      <c r="I33" s="1"/>
      <c r="J33" s="3"/>
      <c r="K33" s="21">
        <v>23</v>
      </c>
      <c r="L33" s="26"/>
      <c r="M33" s="32"/>
      <c r="N33" s="34"/>
      <c r="O33" s="4"/>
      <c r="P33" s="21">
        <v>23</v>
      </c>
      <c r="Q33" s="26"/>
      <c r="R33" s="34"/>
      <c r="S33" s="34"/>
      <c r="T33" s="6"/>
      <c r="U33" s="1"/>
      <c r="V33" s="1"/>
      <c r="W33" s="1"/>
      <c r="X33" s="1"/>
      <c r="Y33" s="1"/>
      <c r="Z33" s="1"/>
      <c r="AA33" s="1"/>
      <c r="AB33" s="1"/>
      <c r="AC33" s="1"/>
      <c r="AD33" s="1"/>
    </row>
    <row r="34" spans="1:30" ht="15" customHeight="1" x14ac:dyDescent="0.15">
      <c r="A34" s="1"/>
      <c r="B34" s="1"/>
      <c r="C34" s="1"/>
      <c r="D34" s="1"/>
      <c r="E34" s="1"/>
      <c r="F34" s="1"/>
      <c r="G34" s="1"/>
      <c r="H34" s="1"/>
      <c r="I34" s="1"/>
      <c r="J34" s="3"/>
      <c r="K34" s="21">
        <v>24</v>
      </c>
      <c r="L34" s="26"/>
      <c r="M34" s="32"/>
      <c r="N34" s="34"/>
      <c r="O34" s="4"/>
      <c r="P34" s="21">
        <v>24</v>
      </c>
      <c r="Q34" s="26"/>
      <c r="R34" s="34"/>
      <c r="S34" s="34"/>
      <c r="T34" s="6"/>
      <c r="U34" s="1"/>
      <c r="V34" s="1"/>
      <c r="W34" s="1"/>
      <c r="X34" s="1"/>
      <c r="Y34" s="1"/>
      <c r="Z34" s="1"/>
      <c r="AA34" s="1"/>
      <c r="AB34" s="1"/>
      <c r="AC34" s="1"/>
      <c r="AD34" s="1"/>
    </row>
    <row r="35" spans="1:30" ht="15" customHeight="1" x14ac:dyDescent="0.15">
      <c r="A35" s="1"/>
      <c r="B35" s="1"/>
      <c r="C35" s="1"/>
      <c r="D35" s="1"/>
      <c r="E35" s="1"/>
      <c r="F35" s="1"/>
      <c r="G35" s="1"/>
      <c r="H35" s="1"/>
      <c r="I35" s="1"/>
      <c r="J35" s="3"/>
      <c r="K35" s="21">
        <v>25</v>
      </c>
      <c r="L35" s="26"/>
      <c r="M35" s="32"/>
      <c r="N35" s="34"/>
      <c r="O35" s="4"/>
      <c r="P35" s="21">
        <v>25</v>
      </c>
      <c r="Q35" s="26"/>
      <c r="R35" s="34"/>
      <c r="S35" s="34"/>
      <c r="T35" s="6"/>
      <c r="U35" s="1"/>
      <c r="V35" s="1"/>
      <c r="W35" s="1"/>
      <c r="X35" s="1"/>
      <c r="Y35" s="1"/>
      <c r="Z35" s="1"/>
      <c r="AA35" s="1"/>
      <c r="AB35" s="1"/>
      <c r="AC35" s="1"/>
      <c r="AD35" s="1"/>
    </row>
    <row r="36" spans="1:30" ht="15" customHeight="1" x14ac:dyDescent="0.15">
      <c r="A36" s="1"/>
      <c r="B36" s="1"/>
      <c r="C36" s="1"/>
      <c r="D36" s="1"/>
      <c r="E36" s="1"/>
      <c r="F36" s="1"/>
      <c r="G36" s="1"/>
      <c r="H36" s="1"/>
      <c r="I36" s="1"/>
      <c r="J36" s="3"/>
      <c r="K36" s="21">
        <v>26</v>
      </c>
      <c r="L36" s="26"/>
      <c r="M36" s="32"/>
      <c r="N36" s="34"/>
      <c r="O36" s="4"/>
      <c r="P36" s="21">
        <v>26</v>
      </c>
      <c r="Q36" s="26"/>
      <c r="R36" s="34"/>
      <c r="S36" s="34"/>
      <c r="T36" s="6"/>
      <c r="U36" s="1"/>
      <c r="V36" s="1"/>
      <c r="W36" s="1"/>
      <c r="X36" s="1"/>
      <c r="Y36" s="1"/>
      <c r="Z36" s="1"/>
      <c r="AA36" s="1"/>
      <c r="AB36" s="1"/>
      <c r="AC36" s="1"/>
      <c r="AD36" s="1"/>
    </row>
    <row r="37" spans="1:30" ht="15" customHeight="1" x14ac:dyDescent="0.15">
      <c r="A37" s="1"/>
      <c r="B37" s="1"/>
      <c r="C37" s="1"/>
      <c r="D37" s="1"/>
      <c r="E37" s="1"/>
      <c r="F37" s="1"/>
      <c r="G37" s="1"/>
      <c r="H37" s="1"/>
      <c r="I37" s="1"/>
      <c r="J37" s="3"/>
      <c r="K37" s="21">
        <v>27</v>
      </c>
      <c r="L37" s="26"/>
      <c r="M37" s="32"/>
      <c r="N37" s="34"/>
      <c r="O37" s="4"/>
      <c r="P37" s="21">
        <v>27</v>
      </c>
      <c r="Q37" s="26"/>
      <c r="R37" s="34"/>
      <c r="S37" s="34"/>
      <c r="T37" s="6"/>
      <c r="U37" s="1"/>
      <c r="V37" s="1"/>
      <c r="W37" s="1"/>
      <c r="X37" s="1"/>
      <c r="Y37" s="1"/>
      <c r="Z37" s="1"/>
      <c r="AA37" s="1"/>
      <c r="AB37" s="1"/>
      <c r="AC37" s="1"/>
      <c r="AD37" s="1"/>
    </row>
    <row r="38" spans="1:30" ht="15" customHeight="1" x14ac:dyDescent="0.15">
      <c r="A38" s="1"/>
      <c r="B38" s="1"/>
      <c r="C38" s="1"/>
      <c r="D38" s="1"/>
      <c r="E38" s="1"/>
      <c r="F38" s="1"/>
      <c r="G38" s="1"/>
      <c r="H38" s="1"/>
      <c r="I38" s="1"/>
      <c r="J38" s="3"/>
      <c r="K38" s="21">
        <v>28</v>
      </c>
      <c r="L38" s="26"/>
      <c r="M38" s="32"/>
      <c r="N38" s="34"/>
      <c r="O38" s="4"/>
      <c r="P38" s="21">
        <v>28</v>
      </c>
      <c r="Q38" s="26"/>
      <c r="R38" s="34"/>
      <c r="S38" s="34"/>
      <c r="T38" s="6"/>
      <c r="U38" s="1"/>
      <c r="V38" s="1"/>
      <c r="W38" s="1"/>
      <c r="X38" s="1"/>
      <c r="Y38" s="1"/>
      <c r="Z38" s="1"/>
      <c r="AA38" s="1"/>
      <c r="AB38" s="1"/>
      <c r="AC38" s="1"/>
      <c r="AD38" s="1"/>
    </row>
    <row r="39" spans="1:30" ht="15" customHeight="1" x14ac:dyDescent="0.15">
      <c r="A39" s="1"/>
      <c r="B39" s="1"/>
      <c r="C39" s="1"/>
      <c r="D39" s="1"/>
      <c r="E39" s="1"/>
      <c r="F39" s="1"/>
      <c r="G39" s="1"/>
      <c r="H39" s="1"/>
      <c r="I39" s="1"/>
      <c r="J39" s="3"/>
      <c r="K39" s="21">
        <v>29</v>
      </c>
      <c r="L39" s="26"/>
      <c r="M39" s="32"/>
      <c r="N39" s="34"/>
      <c r="O39" s="4"/>
      <c r="P39" s="21">
        <v>29</v>
      </c>
      <c r="Q39" s="26"/>
      <c r="R39" s="34"/>
      <c r="S39" s="34"/>
      <c r="T39" s="6"/>
      <c r="U39" s="1"/>
      <c r="V39" s="1"/>
      <c r="W39" s="1"/>
      <c r="X39" s="1"/>
      <c r="Y39" s="1"/>
      <c r="Z39" s="1"/>
      <c r="AA39" s="1"/>
      <c r="AB39" s="1"/>
      <c r="AC39" s="1"/>
      <c r="AD39" s="1"/>
    </row>
    <row r="40" spans="1:30" ht="15" customHeight="1" x14ac:dyDescent="0.15">
      <c r="A40" s="1"/>
      <c r="B40" s="1"/>
      <c r="C40" s="1"/>
      <c r="D40" s="1"/>
      <c r="E40" s="1"/>
      <c r="F40" s="1"/>
      <c r="G40" s="1"/>
      <c r="H40" s="1"/>
      <c r="I40" s="1"/>
      <c r="J40" s="3"/>
      <c r="K40" s="21">
        <v>30</v>
      </c>
      <c r="L40" s="26"/>
      <c r="M40" s="32"/>
      <c r="N40" s="34"/>
      <c r="O40" s="4"/>
      <c r="P40" s="21">
        <v>30</v>
      </c>
      <c r="Q40" s="26"/>
      <c r="R40" s="34"/>
      <c r="S40" s="34"/>
      <c r="T40" s="6"/>
      <c r="U40" s="1"/>
      <c r="V40" s="1"/>
      <c r="W40" s="1"/>
      <c r="X40" s="1"/>
      <c r="Y40" s="1"/>
      <c r="Z40" s="1"/>
      <c r="AA40" s="1"/>
      <c r="AB40" s="1"/>
      <c r="AC40" s="1"/>
      <c r="AD40" s="1"/>
    </row>
    <row r="41" spans="1:30" ht="15" customHeight="1" x14ac:dyDescent="0.15">
      <c r="A41" s="1"/>
      <c r="B41" s="1"/>
      <c r="C41" s="1"/>
      <c r="D41" s="1"/>
      <c r="E41" s="1"/>
      <c r="F41" s="1"/>
      <c r="G41" s="1"/>
      <c r="H41" s="1"/>
      <c r="I41" s="1"/>
      <c r="J41" s="3"/>
      <c r="K41" s="21">
        <v>31</v>
      </c>
      <c r="L41" s="26"/>
      <c r="M41" s="32"/>
      <c r="N41" s="34"/>
      <c r="O41" s="4"/>
      <c r="P41" s="21">
        <v>31</v>
      </c>
      <c r="Q41" s="26"/>
      <c r="R41" s="34"/>
      <c r="S41" s="34"/>
      <c r="T41" s="6"/>
      <c r="U41" s="1"/>
      <c r="V41" s="1"/>
      <c r="W41" s="1"/>
      <c r="X41" s="1"/>
      <c r="Y41" s="1"/>
      <c r="Z41" s="1"/>
      <c r="AA41" s="1"/>
      <c r="AB41" s="1"/>
      <c r="AC41" s="1"/>
      <c r="AD41" s="1"/>
    </row>
    <row r="42" spans="1:30" ht="15" customHeight="1" x14ac:dyDescent="0.15">
      <c r="A42" s="1"/>
      <c r="B42" s="1"/>
      <c r="C42" s="1"/>
      <c r="D42" s="1"/>
      <c r="E42" s="1"/>
      <c r="F42" s="1"/>
      <c r="G42" s="1"/>
      <c r="H42" s="1"/>
      <c r="I42" s="1"/>
      <c r="J42" s="3"/>
      <c r="K42" s="21">
        <v>32</v>
      </c>
      <c r="L42" s="26"/>
      <c r="M42" s="32"/>
      <c r="N42" s="34"/>
      <c r="O42" s="4"/>
      <c r="P42" s="21">
        <v>32</v>
      </c>
      <c r="Q42" s="26"/>
      <c r="R42" s="34"/>
      <c r="S42" s="34"/>
      <c r="T42" s="6"/>
      <c r="U42" s="1"/>
      <c r="V42" s="1"/>
      <c r="W42" s="1"/>
      <c r="X42" s="1"/>
      <c r="Y42" s="1"/>
      <c r="Z42" s="1"/>
      <c r="AA42" s="1"/>
      <c r="AB42" s="1"/>
      <c r="AC42" s="1"/>
      <c r="AD42" s="1"/>
    </row>
    <row r="43" spans="1:30" ht="15" customHeight="1" x14ac:dyDescent="0.15">
      <c r="A43" s="1"/>
      <c r="B43" s="1"/>
      <c r="C43" s="1"/>
      <c r="D43" s="1"/>
      <c r="E43" s="1"/>
      <c r="F43" s="1"/>
      <c r="G43" s="1"/>
      <c r="H43" s="1"/>
      <c r="I43" s="1"/>
      <c r="J43" s="3"/>
      <c r="K43" s="21">
        <v>33</v>
      </c>
      <c r="L43" s="26"/>
      <c r="M43" s="32"/>
      <c r="N43" s="34"/>
      <c r="O43" s="4"/>
      <c r="P43" s="21">
        <v>33</v>
      </c>
      <c r="Q43" s="26"/>
      <c r="R43" s="34"/>
      <c r="S43" s="34"/>
      <c r="T43" s="6"/>
      <c r="U43" s="1"/>
      <c r="V43" s="1"/>
      <c r="W43" s="1"/>
      <c r="X43" s="1"/>
      <c r="Y43" s="1"/>
      <c r="Z43" s="1"/>
      <c r="AA43" s="1"/>
      <c r="AB43" s="1"/>
      <c r="AC43" s="1"/>
      <c r="AD43" s="1"/>
    </row>
    <row r="44" spans="1:30" ht="15" customHeight="1" x14ac:dyDescent="0.15">
      <c r="A44" s="1"/>
      <c r="B44" s="1"/>
      <c r="C44" s="1"/>
      <c r="D44" s="1"/>
      <c r="E44" s="1"/>
      <c r="F44" s="1"/>
      <c r="G44" s="1"/>
      <c r="H44" s="1"/>
      <c r="I44" s="1"/>
      <c r="J44" s="3"/>
      <c r="K44" s="21">
        <v>34</v>
      </c>
      <c r="L44" s="26"/>
      <c r="M44" s="32"/>
      <c r="N44" s="34"/>
      <c r="O44" s="4"/>
      <c r="P44" s="21">
        <v>34</v>
      </c>
      <c r="Q44" s="26"/>
      <c r="R44" s="34"/>
      <c r="S44" s="34"/>
      <c r="T44" s="6"/>
      <c r="U44" s="1"/>
      <c r="V44" s="1"/>
      <c r="W44" s="1"/>
      <c r="X44" s="1"/>
      <c r="Y44" s="1"/>
      <c r="Z44" s="1"/>
      <c r="AA44" s="1"/>
      <c r="AB44" s="1"/>
      <c r="AC44" s="1"/>
      <c r="AD44" s="1"/>
    </row>
    <row r="45" spans="1:30" ht="15" customHeight="1" x14ac:dyDescent="0.15">
      <c r="A45" s="1"/>
      <c r="B45" s="1"/>
      <c r="C45" s="1"/>
      <c r="D45" s="1"/>
      <c r="E45" s="1"/>
      <c r="F45" s="1"/>
      <c r="G45" s="1"/>
      <c r="H45" s="1"/>
      <c r="I45" s="1"/>
      <c r="J45" s="3"/>
      <c r="K45" s="21">
        <v>35</v>
      </c>
      <c r="L45" s="26"/>
      <c r="M45" s="32"/>
      <c r="N45" s="34"/>
      <c r="O45" s="4"/>
      <c r="P45" s="21">
        <v>35</v>
      </c>
      <c r="Q45" s="26"/>
      <c r="R45" s="34"/>
      <c r="S45" s="34"/>
      <c r="T45" s="6"/>
      <c r="U45" s="1"/>
      <c r="V45" s="1"/>
      <c r="W45" s="1"/>
      <c r="X45" s="1"/>
      <c r="Y45" s="1"/>
      <c r="Z45" s="1"/>
      <c r="AA45" s="1"/>
      <c r="AB45" s="1"/>
      <c r="AC45" s="1"/>
      <c r="AD45" s="1"/>
    </row>
    <row r="46" spans="1:30" ht="15" customHeight="1" x14ac:dyDescent="0.15">
      <c r="A46" s="1"/>
      <c r="B46" s="1"/>
      <c r="C46" s="1"/>
      <c r="D46" s="1"/>
      <c r="E46" s="1"/>
      <c r="F46" s="1"/>
      <c r="G46" s="1"/>
      <c r="H46" s="1"/>
      <c r="I46" s="1"/>
      <c r="J46" s="3"/>
      <c r="K46" s="21">
        <v>36</v>
      </c>
      <c r="L46" s="26"/>
      <c r="M46" s="32"/>
      <c r="N46" s="34"/>
      <c r="O46" s="4"/>
      <c r="P46" s="21">
        <v>36</v>
      </c>
      <c r="Q46" s="26"/>
      <c r="R46" s="34"/>
      <c r="S46" s="34"/>
      <c r="T46" s="6"/>
      <c r="U46" s="1"/>
      <c r="V46" s="1"/>
      <c r="W46" s="1"/>
      <c r="X46" s="1"/>
      <c r="Y46" s="1"/>
      <c r="Z46" s="1"/>
      <c r="AA46" s="1"/>
      <c r="AB46" s="1"/>
      <c r="AC46" s="1"/>
      <c r="AD46" s="1"/>
    </row>
    <row r="47" spans="1:30" ht="15" customHeight="1" x14ac:dyDescent="0.15">
      <c r="A47" s="1"/>
      <c r="B47" s="1"/>
      <c r="C47" s="1"/>
      <c r="D47" s="1"/>
      <c r="E47" s="1"/>
      <c r="F47" s="1"/>
      <c r="G47" s="1"/>
      <c r="H47" s="1"/>
      <c r="I47" s="1"/>
      <c r="J47" s="3"/>
      <c r="K47" s="21">
        <v>37</v>
      </c>
      <c r="L47" s="26"/>
      <c r="M47" s="32"/>
      <c r="N47" s="34"/>
      <c r="O47" s="4"/>
      <c r="P47" s="21">
        <v>37</v>
      </c>
      <c r="Q47" s="26"/>
      <c r="R47" s="34"/>
      <c r="S47" s="34"/>
      <c r="T47" s="6"/>
      <c r="U47" s="1"/>
      <c r="V47" s="1"/>
      <c r="W47" s="1"/>
      <c r="X47" s="1"/>
      <c r="Y47" s="1"/>
      <c r="Z47" s="1"/>
      <c r="AA47" s="1"/>
      <c r="AB47" s="1"/>
      <c r="AC47" s="1"/>
      <c r="AD47" s="1"/>
    </row>
    <row r="48" spans="1:30" ht="15" customHeight="1" x14ac:dyDescent="0.15">
      <c r="A48" s="1"/>
      <c r="B48" s="1"/>
      <c r="C48" s="1"/>
      <c r="D48" s="1"/>
      <c r="E48" s="1"/>
      <c r="F48" s="1"/>
      <c r="G48" s="1"/>
      <c r="H48" s="1"/>
      <c r="I48" s="1"/>
      <c r="J48" s="3"/>
      <c r="K48" s="21">
        <v>38</v>
      </c>
      <c r="L48" s="26"/>
      <c r="M48" s="32"/>
      <c r="N48" s="34"/>
      <c r="O48" s="4"/>
      <c r="P48" s="21">
        <v>38</v>
      </c>
      <c r="Q48" s="26"/>
      <c r="R48" s="34"/>
      <c r="S48" s="34"/>
      <c r="T48" s="6"/>
      <c r="U48" s="1"/>
      <c r="V48" s="1"/>
      <c r="W48" s="1"/>
      <c r="X48" s="1"/>
      <c r="Y48" s="1"/>
      <c r="Z48" s="1"/>
      <c r="AA48" s="1"/>
      <c r="AB48" s="1"/>
      <c r="AC48" s="1"/>
      <c r="AD48" s="1"/>
    </row>
    <row r="49" spans="1:30" ht="15" customHeight="1" x14ac:dyDescent="0.15">
      <c r="A49" s="1"/>
      <c r="B49" s="1"/>
      <c r="C49" s="1"/>
      <c r="D49" s="1"/>
      <c r="E49" s="1"/>
      <c r="F49" s="1"/>
      <c r="G49" s="1"/>
      <c r="H49" s="1"/>
      <c r="I49" s="1"/>
      <c r="J49" s="3"/>
      <c r="K49" s="21">
        <v>39</v>
      </c>
      <c r="L49" s="26"/>
      <c r="M49" s="32"/>
      <c r="N49" s="34"/>
      <c r="O49" s="4"/>
      <c r="P49" s="21">
        <v>39</v>
      </c>
      <c r="Q49" s="26"/>
      <c r="R49" s="34"/>
      <c r="S49" s="34"/>
      <c r="T49" s="6"/>
      <c r="U49" s="1"/>
      <c r="V49" s="1"/>
      <c r="W49" s="1"/>
      <c r="X49" s="1"/>
      <c r="Y49" s="1"/>
      <c r="Z49" s="1"/>
      <c r="AA49" s="1"/>
      <c r="AB49" s="1"/>
      <c r="AC49" s="1"/>
      <c r="AD49" s="1"/>
    </row>
    <row r="50" spans="1:30" ht="15" customHeight="1" x14ac:dyDescent="0.15">
      <c r="A50" s="1"/>
      <c r="B50" s="1"/>
      <c r="C50" s="1"/>
      <c r="D50" s="1"/>
      <c r="E50" s="1"/>
      <c r="F50" s="1"/>
      <c r="G50" s="1"/>
      <c r="H50" s="1"/>
      <c r="I50" s="1"/>
      <c r="J50" s="3"/>
      <c r="K50" s="21">
        <v>40</v>
      </c>
      <c r="L50" s="26"/>
      <c r="M50" s="32"/>
      <c r="N50" s="34"/>
      <c r="O50" s="4"/>
      <c r="P50" s="21">
        <v>40</v>
      </c>
      <c r="Q50" s="26"/>
      <c r="R50" s="34"/>
      <c r="S50" s="34"/>
      <c r="T50" s="6"/>
      <c r="U50" s="1"/>
      <c r="V50" s="1"/>
      <c r="W50" s="1"/>
      <c r="X50" s="1"/>
      <c r="Y50" s="1"/>
      <c r="Z50" s="1"/>
      <c r="AA50" s="1"/>
      <c r="AB50" s="1"/>
      <c r="AC50" s="1"/>
      <c r="AD50" s="1"/>
    </row>
    <row r="51" spans="1:30" ht="15" customHeight="1" x14ac:dyDescent="0.15">
      <c r="A51" s="1"/>
      <c r="B51" s="1"/>
      <c r="C51" s="1"/>
      <c r="D51" s="1"/>
      <c r="E51" s="1"/>
      <c r="F51" s="1"/>
      <c r="G51" s="1"/>
      <c r="H51" s="1"/>
      <c r="I51" s="1"/>
      <c r="J51" s="3"/>
      <c r="K51" s="21">
        <v>41</v>
      </c>
      <c r="L51" s="26"/>
      <c r="M51" s="32"/>
      <c r="N51" s="34"/>
      <c r="O51" s="4"/>
      <c r="P51" s="21">
        <v>41</v>
      </c>
      <c r="Q51" s="26"/>
      <c r="R51" s="34"/>
      <c r="S51" s="34"/>
      <c r="T51" s="6"/>
      <c r="U51" s="1"/>
      <c r="V51" s="1"/>
      <c r="W51" s="1"/>
      <c r="X51" s="1"/>
      <c r="Y51" s="1"/>
      <c r="Z51" s="1"/>
      <c r="AA51" s="1"/>
      <c r="AB51" s="1"/>
      <c r="AC51" s="1"/>
      <c r="AD51" s="1"/>
    </row>
    <row r="52" spans="1:30" ht="15" customHeight="1" x14ac:dyDescent="0.15">
      <c r="A52" s="1"/>
      <c r="B52" s="1"/>
      <c r="C52" s="1"/>
      <c r="D52" s="1"/>
      <c r="E52" s="1"/>
      <c r="F52" s="1"/>
      <c r="G52" s="1"/>
      <c r="H52" s="1"/>
      <c r="I52" s="1"/>
      <c r="J52" s="3"/>
      <c r="K52" s="21">
        <v>42</v>
      </c>
      <c r="L52" s="26"/>
      <c r="M52" s="32"/>
      <c r="N52" s="34"/>
      <c r="O52" s="4"/>
      <c r="P52" s="21">
        <v>42</v>
      </c>
      <c r="Q52" s="26"/>
      <c r="R52" s="34"/>
      <c r="S52" s="34"/>
      <c r="T52" s="6"/>
      <c r="U52" s="1"/>
      <c r="V52" s="1"/>
      <c r="W52" s="1"/>
      <c r="X52" s="1"/>
      <c r="Y52" s="1"/>
      <c r="Z52" s="1"/>
      <c r="AA52" s="1"/>
      <c r="AB52" s="1"/>
      <c r="AC52" s="1"/>
      <c r="AD52" s="1"/>
    </row>
    <row r="53" spans="1:30" ht="15" customHeight="1" x14ac:dyDescent="0.15">
      <c r="A53" s="1"/>
      <c r="B53" s="1"/>
      <c r="C53" s="1"/>
      <c r="D53" s="1"/>
      <c r="E53" s="1"/>
      <c r="F53" s="1"/>
      <c r="G53" s="1"/>
      <c r="H53" s="1"/>
      <c r="I53" s="1"/>
      <c r="J53" s="3"/>
      <c r="K53" s="21">
        <v>43</v>
      </c>
      <c r="L53" s="26"/>
      <c r="M53" s="32"/>
      <c r="N53" s="34"/>
      <c r="O53" s="4"/>
      <c r="P53" s="21">
        <v>43</v>
      </c>
      <c r="Q53" s="26"/>
      <c r="R53" s="34"/>
      <c r="S53" s="34"/>
      <c r="T53" s="6"/>
      <c r="U53" s="1"/>
      <c r="V53" s="1"/>
      <c r="W53" s="1"/>
      <c r="X53" s="1"/>
      <c r="Y53" s="1"/>
      <c r="Z53" s="1"/>
      <c r="AA53" s="1"/>
      <c r="AB53" s="1"/>
      <c r="AC53" s="1"/>
      <c r="AD53" s="1"/>
    </row>
    <row r="54" spans="1:30" ht="15" customHeight="1" x14ac:dyDescent="0.15">
      <c r="A54" s="1"/>
      <c r="B54" s="1"/>
      <c r="C54" s="1"/>
      <c r="D54" s="1"/>
      <c r="E54" s="1"/>
      <c r="F54" s="1"/>
      <c r="G54" s="1"/>
      <c r="H54" s="1"/>
      <c r="I54" s="1"/>
      <c r="J54" s="3"/>
      <c r="K54" s="21">
        <v>44</v>
      </c>
      <c r="L54" s="26"/>
      <c r="M54" s="32"/>
      <c r="N54" s="34"/>
      <c r="O54" s="4"/>
      <c r="P54" s="21">
        <v>44</v>
      </c>
      <c r="Q54" s="26"/>
      <c r="R54" s="34"/>
      <c r="S54" s="34"/>
      <c r="T54" s="6"/>
      <c r="U54" s="1"/>
      <c r="V54" s="1"/>
      <c r="W54" s="1"/>
      <c r="X54" s="1"/>
      <c r="Y54" s="1"/>
      <c r="Z54" s="1"/>
      <c r="AA54" s="1"/>
      <c r="AB54" s="1"/>
      <c r="AC54" s="1"/>
      <c r="AD54" s="1"/>
    </row>
    <row r="55" spans="1:30" ht="15" customHeight="1" x14ac:dyDescent="0.15">
      <c r="A55" s="1"/>
      <c r="B55" s="1"/>
      <c r="C55" s="1"/>
      <c r="D55" s="1"/>
      <c r="E55" s="1"/>
      <c r="F55" s="1"/>
      <c r="G55" s="1"/>
      <c r="H55" s="1"/>
      <c r="I55" s="1"/>
      <c r="J55" s="3"/>
      <c r="K55" s="21">
        <v>45</v>
      </c>
      <c r="L55" s="26"/>
      <c r="M55" s="32"/>
      <c r="N55" s="34"/>
      <c r="O55" s="4"/>
      <c r="P55" s="21">
        <v>45</v>
      </c>
      <c r="Q55" s="26"/>
      <c r="R55" s="34"/>
      <c r="S55" s="34"/>
      <c r="T55" s="6"/>
      <c r="U55" s="1"/>
      <c r="V55" s="1"/>
      <c r="W55" s="1"/>
      <c r="X55" s="1"/>
      <c r="Y55" s="1"/>
      <c r="Z55" s="1"/>
      <c r="AA55" s="1"/>
      <c r="AB55" s="1"/>
      <c r="AC55" s="1"/>
      <c r="AD55" s="1"/>
    </row>
    <row r="56" spans="1:30" ht="15" customHeight="1" x14ac:dyDescent="0.15">
      <c r="A56" s="1"/>
      <c r="B56" s="1"/>
      <c r="C56" s="1"/>
      <c r="D56" s="1"/>
      <c r="E56" s="1"/>
      <c r="F56" s="1"/>
      <c r="G56" s="1"/>
      <c r="H56" s="1"/>
      <c r="I56" s="1"/>
      <c r="J56" s="3"/>
      <c r="K56" s="21">
        <v>46</v>
      </c>
      <c r="L56" s="26"/>
      <c r="M56" s="32"/>
      <c r="N56" s="34"/>
      <c r="O56" s="4"/>
      <c r="P56" s="21">
        <v>46</v>
      </c>
      <c r="Q56" s="26"/>
      <c r="R56" s="34"/>
      <c r="S56" s="34"/>
      <c r="T56" s="6"/>
      <c r="U56" s="1"/>
      <c r="V56" s="1"/>
      <c r="W56" s="1"/>
      <c r="X56" s="1"/>
      <c r="Y56" s="1"/>
      <c r="Z56" s="1"/>
      <c r="AA56" s="1"/>
      <c r="AB56" s="1"/>
      <c r="AC56" s="1"/>
      <c r="AD56" s="1"/>
    </row>
    <row r="57" spans="1:30" ht="15" customHeight="1" x14ac:dyDescent="0.15">
      <c r="A57" s="1"/>
      <c r="B57" s="1"/>
      <c r="C57" s="1"/>
      <c r="D57" s="1"/>
      <c r="E57" s="1"/>
      <c r="F57" s="1"/>
      <c r="G57" s="1"/>
      <c r="H57" s="1"/>
      <c r="I57" s="1"/>
      <c r="J57" s="3"/>
      <c r="K57" s="21">
        <v>47</v>
      </c>
      <c r="L57" s="26"/>
      <c r="M57" s="32"/>
      <c r="N57" s="34"/>
      <c r="O57" s="4"/>
      <c r="P57" s="21">
        <v>47</v>
      </c>
      <c r="Q57" s="26"/>
      <c r="R57" s="34"/>
      <c r="S57" s="34"/>
      <c r="T57" s="6"/>
      <c r="U57" s="1"/>
      <c r="V57" s="1"/>
      <c r="W57" s="1"/>
      <c r="X57" s="1"/>
      <c r="Y57" s="1"/>
      <c r="Z57" s="1"/>
      <c r="AA57" s="1"/>
      <c r="AB57" s="1"/>
      <c r="AC57" s="1"/>
      <c r="AD57" s="1"/>
    </row>
    <row r="58" spans="1:30" ht="15" customHeight="1" x14ac:dyDescent="0.15">
      <c r="A58" s="1"/>
      <c r="B58" s="1"/>
      <c r="C58" s="1"/>
      <c r="D58" s="1"/>
      <c r="E58" s="1"/>
      <c r="F58" s="1"/>
      <c r="G58" s="1"/>
      <c r="H58" s="1"/>
      <c r="I58" s="1"/>
      <c r="J58" s="3"/>
      <c r="K58" s="21">
        <v>48</v>
      </c>
      <c r="L58" s="26"/>
      <c r="M58" s="32"/>
      <c r="N58" s="34"/>
      <c r="O58" s="4"/>
      <c r="P58" s="21">
        <v>48</v>
      </c>
      <c r="Q58" s="26"/>
      <c r="R58" s="34"/>
      <c r="S58" s="34"/>
      <c r="T58" s="6"/>
      <c r="U58" s="1"/>
      <c r="V58" s="1"/>
      <c r="W58" s="1"/>
      <c r="X58" s="1"/>
      <c r="Y58" s="1"/>
      <c r="Z58" s="1"/>
      <c r="AA58" s="1"/>
      <c r="AB58" s="1"/>
      <c r="AC58" s="1"/>
      <c r="AD58" s="1"/>
    </row>
    <row r="59" spans="1:30" ht="15" customHeight="1" x14ac:dyDescent="0.15">
      <c r="A59" s="1"/>
      <c r="B59" s="1"/>
      <c r="C59" s="1"/>
      <c r="D59" s="1"/>
      <c r="E59" s="1"/>
      <c r="F59" s="1"/>
      <c r="G59" s="1"/>
      <c r="H59" s="1"/>
      <c r="I59" s="1"/>
      <c r="J59" s="3"/>
      <c r="K59" s="21">
        <v>49</v>
      </c>
      <c r="L59" s="26"/>
      <c r="M59" s="32"/>
      <c r="N59" s="34"/>
      <c r="O59" s="4"/>
      <c r="P59" s="21">
        <v>49</v>
      </c>
      <c r="Q59" s="26"/>
      <c r="R59" s="34"/>
      <c r="S59" s="34"/>
      <c r="T59" s="6"/>
      <c r="U59" s="1"/>
      <c r="V59" s="1"/>
      <c r="W59" s="1"/>
      <c r="X59" s="1"/>
      <c r="Y59" s="1"/>
      <c r="Z59" s="1"/>
      <c r="AA59" s="1"/>
      <c r="AB59" s="1"/>
      <c r="AC59" s="1"/>
      <c r="AD59" s="1"/>
    </row>
    <row r="60" spans="1:30" ht="15" customHeight="1" x14ac:dyDescent="0.15">
      <c r="A60" s="1"/>
      <c r="B60" s="1"/>
      <c r="C60" s="1"/>
      <c r="D60" s="1"/>
      <c r="E60" s="1"/>
      <c r="F60" s="1"/>
      <c r="G60" s="1"/>
      <c r="H60" s="1"/>
      <c r="I60" s="1"/>
      <c r="J60" s="3"/>
      <c r="K60" s="21">
        <v>50</v>
      </c>
      <c r="L60" s="26"/>
      <c r="M60" s="32"/>
      <c r="N60" s="34"/>
      <c r="O60" s="4"/>
      <c r="P60" s="21">
        <v>50</v>
      </c>
      <c r="Q60" s="26"/>
      <c r="R60" s="34"/>
      <c r="S60" s="34"/>
      <c r="T60" s="6"/>
      <c r="U60" s="1"/>
      <c r="V60" s="1"/>
      <c r="W60" s="1"/>
      <c r="X60" s="1"/>
      <c r="Y60" s="1"/>
      <c r="Z60" s="1"/>
      <c r="AA60" s="1"/>
      <c r="AB60" s="1"/>
      <c r="AC60" s="1"/>
      <c r="AD60" s="1"/>
    </row>
    <row r="61" spans="1:30" ht="15" customHeight="1" x14ac:dyDescent="0.15">
      <c r="A61" s="1"/>
      <c r="B61" s="1"/>
      <c r="C61" s="1"/>
      <c r="D61" s="1"/>
      <c r="E61" s="1"/>
      <c r="F61" s="1"/>
      <c r="G61" s="1"/>
      <c r="H61" s="1"/>
      <c r="I61" s="1"/>
      <c r="J61" s="35"/>
      <c r="K61" s="36"/>
      <c r="L61" s="36"/>
      <c r="M61" s="36"/>
      <c r="N61" s="36"/>
      <c r="O61" s="36"/>
      <c r="P61" s="36"/>
      <c r="Q61" s="36"/>
      <c r="R61" s="36"/>
      <c r="S61" s="36"/>
      <c r="T61" s="37"/>
      <c r="U61" s="1"/>
      <c r="V61" s="1"/>
      <c r="W61" s="1"/>
      <c r="X61" s="1"/>
      <c r="Y61" s="1"/>
      <c r="Z61" s="1"/>
      <c r="AA61" s="1"/>
      <c r="AB61" s="1"/>
      <c r="AC61" s="1"/>
      <c r="AD61" s="1"/>
    </row>
    <row r="62" spans="1:30" ht="15" customHeight="1" x14ac:dyDescent="0.15">
      <c r="A62" s="1"/>
      <c r="B62" s="1"/>
      <c r="C62" s="1"/>
      <c r="D62" s="1"/>
      <c r="E62" s="1"/>
      <c r="F62" s="1"/>
      <c r="G62" s="1"/>
      <c r="H62" s="1"/>
      <c r="I62" s="1"/>
      <c r="J62" s="1"/>
      <c r="K62" s="1"/>
      <c r="L62" s="1"/>
      <c r="M62" s="1"/>
      <c r="N62" s="1"/>
      <c r="O62" s="1"/>
      <c r="P62" s="1"/>
      <c r="Q62" s="1"/>
      <c r="R62" s="1"/>
      <c r="S62" s="1"/>
      <c r="T62" s="79" t="s">
        <v>48</v>
      </c>
      <c r="U62" s="1"/>
      <c r="V62" s="1"/>
      <c r="W62" s="1"/>
      <c r="X62" s="1"/>
      <c r="Y62" s="1"/>
      <c r="Z62" s="1"/>
      <c r="AA62" s="1"/>
      <c r="AB62" s="1"/>
      <c r="AC62" s="1"/>
      <c r="AD62" s="1"/>
    </row>
    <row r="63" spans="1:30" ht="15" customHeight="1" x14ac:dyDescent="0.15">
      <c r="A63" s="1"/>
      <c r="B63" s="1"/>
      <c r="C63" s="1"/>
      <c r="D63" s="1"/>
      <c r="E63" s="1"/>
      <c r="F63" s="1"/>
      <c r="G63" s="1"/>
      <c r="H63" s="1"/>
      <c r="I63" s="1"/>
      <c r="U63" s="1"/>
      <c r="V63" s="1"/>
      <c r="W63" s="1"/>
      <c r="X63" s="1"/>
      <c r="Y63" s="1"/>
      <c r="Z63" s="1"/>
      <c r="AA63" s="1"/>
      <c r="AB63" s="1"/>
      <c r="AC63" s="1"/>
      <c r="AD63" s="1"/>
    </row>
    <row r="64" spans="1:30" ht="15.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2">
    <mergeCell ref="F26:G26"/>
    <mergeCell ref="C27:D27"/>
    <mergeCell ref="F28:G28"/>
    <mergeCell ref="C30:G32"/>
    <mergeCell ref="C13:D13"/>
    <mergeCell ref="C15:D15"/>
    <mergeCell ref="F15:G15"/>
    <mergeCell ref="C16:D17"/>
    <mergeCell ref="E16:E17"/>
    <mergeCell ref="F16:G17"/>
    <mergeCell ref="F18:G18"/>
    <mergeCell ref="F19:G19"/>
    <mergeCell ref="C11:D11"/>
    <mergeCell ref="C12:D12"/>
    <mergeCell ref="C18:D18"/>
    <mergeCell ref="C19:D19"/>
    <mergeCell ref="B23:H24"/>
    <mergeCell ref="A1:U5"/>
    <mergeCell ref="B7:H8"/>
    <mergeCell ref="J7:T8"/>
    <mergeCell ref="C10:D10"/>
    <mergeCell ref="F10:G10"/>
  </mergeCells>
  <dataValidations count="3">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00000000-0002-0000-0100-000002000000}">
      <formula1>"Kinder,1,2,3"</formula1>
    </dataValidation>
  </dataValidation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outlinePr summaryBelow="0"/>
    <pageSetUpPr fitToPage="1"/>
  </sheetPr>
  <dimension ref="A1:BU997"/>
  <sheetViews>
    <sheetView workbookViewId="0">
      <pane ySplit="14" topLeftCell="A15" activePane="bottomLeft" state="frozen"/>
      <selection pane="bottomLeft" activeCell="B16" sqref="B16"/>
    </sheetView>
  </sheetViews>
  <sheetFormatPr baseColWidth="10" defaultColWidth="12.6640625" defaultRowHeight="15" customHeight="1" x14ac:dyDescent="0.15"/>
  <cols>
    <col min="1" max="1" width="3.6640625" customWidth="1"/>
    <col min="2" max="2" width="4.33203125" customWidth="1"/>
    <col min="3" max="3" width="13.1640625" customWidth="1"/>
    <col min="6" max="6" width="15.33203125" customWidth="1"/>
    <col min="9" max="12" width="6.33203125" customWidth="1"/>
    <col min="13" max="13" width="5.1640625" customWidth="1"/>
    <col min="14" max="49" width="5.6640625" customWidth="1"/>
    <col min="50" max="51" width="7" customWidth="1"/>
    <col min="52" max="57" width="5.6640625" customWidth="1"/>
    <col min="58" max="58" width="15.6640625" customWidth="1"/>
    <col min="59" max="59" width="7" customWidth="1"/>
    <col min="60" max="61" width="5.6640625" customWidth="1"/>
    <col min="62" max="62" width="7.5" customWidth="1"/>
    <col min="63" max="63" width="5.6640625" customWidth="1"/>
    <col min="64" max="64" width="10.33203125" customWidth="1"/>
    <col min="65" max="65" width="8.33203125" customWidth="1"/>
    <col min="66" max="73" width="5.6640625" customWidth="1"/>
  </cols>
  <sheetData>
    <row r="1" spans="1:73" ht="13" x14ac:dyDescent="0.15">
      <c r="A1" s="186" t="s">
        <v>1</v>
      </c>
      <c r="B1" s="109"/>
      <c r="C1" s="109"/>
      <c r="D1" s="109"/>
      <c r="E1" s="109"/>
      <c r="F1" s="109"/>
      <c r="G1" s="109"/>
      <c r="H1" s="109"/>
      <c r="I1" s="109"/>
      <c r="J1" s="109"/>
      <c r="K1" s="109"/>
      <c r="L1" s="109"/>
      <c r="M1" s="109"/>
      <c r="N1" s="109"/>
      <c r="O1" s="109"/>
      <c r="P1" s="109"/>
      <c r="Q1" s="109"/>
      <c r="R1" s="109"/>
      <c r="S1" s="109"/>
      <c r="T1" s="109"/>
      <c r="U1" s="109"/>
      <c r="V1" s="109"/>
      <c r="W1" s="2"/>
      <c r="X1" s="2"/>
      <c r="Y1" s="2"/>
      <c r="Z1" s="2"/>
      <c r="AA1" s="2"/>
      <c r="AB1" s="2"/>
      <c r="AC1" s="2"/>
      <c r="AD1" s="2"/>
      <c r="AE1" s="2"/>
    </row>
    <row r="2" spans="1:73" ht="13" x14ac:dyDescent="0.15">
      <c r="A2" s="109"/>
      <c r="B2" s="109"/>
      <c r="C2" s="109"/>
      <c r="D2" s="109"/>
      <c r="E2" s="109"/>
      <c r="F2" s="109"/>
      <c r="G2" s="109"/>
      <c r="H2" s="109"/>
      <c r="I2" s="109"/>
      <c r="J2" s="109"/>
      <c r="K2" s="109"/>
      <c r="L2" s="109"/>
      <c r="M2" s="109"/>
      <c r="N2" s="109"/>
      <c r="O2" s="109"/>
      <c r="P2" s="109"/>
      <c r="Q2" s="109"/>
      <c r="R2" s="109"/>
      <c r="S2" s="109"/>
      <c r="T2" s="109"/>
      <c r="U2" s="109"/>
      <c r="V2" s="109"/>
      <c r="W2" s="2"/>
      <c r="X2" s="2"/>
      <c r="Y2" s="2"/>
      <c r="Z2" s="2"/>
      <c r="AA2" s="2"/>
      <c r="AB2" s="2"/>
      <c r="AC2" s="2"/>
      <c r="AD2" s="2"/>
      <c r="AE2" s="2"/>
    </row>
    <row r="3" spans="1:73" ht="13" x14ac:dyDescent="0.15">
      <c r="A3" s="109"/>
      <c r="B3" s="109"/>
      <c r="C3" s="109"/>
      <c r="D3" s="109"/>
      <c r="E3" s="109"/>
      <c r="F3" s="109"/>
      <c r="G3" s="109"/>
      <c r="H3" s="109"/>
      <c r="I3" s="109"/>
      <c r="J3" s="109"/>
      <c r="K3" s="109"/>
      <c r="L3" s="109"/>
      <c r="M3" s="109"/>
      <c r="N3" s="109"/>
      <c r="O3" s="109"/>
      <c r="P3" s="109"/>
      <c r="Q3" s="109"/>
      <c r="R3" s="109"/>
      <c r="S3" s="109"/>
      <c r="T3" s="109"/>
      <c r="U3" s="109"/>
      <c r="V3" s="109"/>
      <c r="W3" s="2"/>
      <c r="X3" s="2"/>
      <c r="Y3" s="2"/>
      <c r="Z3" s="2"/>
      <c r="AA3" s="2"/>
      <c r="AB3" s="2"/>
      <c r="AC3" s="2"/>
      <c r="AD3" s="2"/>
      <c r="AE3" s="2"/>
    </row>
    <row r="4" spans="1:73" ht="13" x14ac:dyDescent="0.15">
      <c r="A4" s="109"/>
      <c r="B4" s="109"/>
      <c r="C4" s="109"/>
      <c r="D4" s="109"/>
      <c r="E4" s="109"/>
      <c r="F4" s="109"/>
      <c r="G4" s="109"/>
      <c r="H4" s="109"/>
      <c r="I4" s="109"/>
      <c r="J4" s="109"/>
      <c r="K4" s="109"/>
      <c r="L4" s="109"/>
      <c r="M4" s="109"/>
      <c r="N4" s="109"/>
      <c r="O4" s="109"/>
      <c r="P4" s="109"/>
      <c r="Q4" s="109"/>
      <c r="R4" s="109"/>
      <c r="S4" s="109"/>
      <c r="T4" s="109"/>
      <c r="U4" s="109"/>
      <c r="V4" s="109"/>
      <c r="W4" s="5"/>
      <c r="X4" s="5"/>
      <c r="Y4" s="5"/>
      <c r="Z4" s="5"/>
      <c r="AA4" s="5"/>
      <c r="AB4" s="5"/>
      <c r="AC4" s="5"/>
      <c r="AD4" s="5"/>
      <c r="AE4" s="5"/>
    </row>
    <row r="5" spans="1:73" ht="16" x14ac:dyDescent="0.2">
      <c r="A5" s="7"/>
      <c r="B5" s="8"/>
      <c r="C5" s="9"/>
      <c r="D5" s="10" t="s">
        <v>4</v>
      </c>
      <c r="E5" s="187">
        <f>'INPUT DATA'!F10</f>
        <v>0</v>
      </c>
      <c r="F5" s="168"/>
      <c r="G5" s="169"/>
      <c r="H5" s="13"/>
      <c r="I5" s="10" t="s">
        <v>6</v>
      </c>
      <c r="J5" s="10"/>
      <c r="K5" s="187">
        <f>'INPUT DATA'!F11</f>
        <v>0</v>
      </c>
      <c r="L5" s="168"/>
      <c r="M5" s="169"/>
      <c r="N5" s="17"/>
      <c r="O5" s="13"/>
      <c r="P5" s="13"/>
      <c r="Q5" s="13"/>
      <c r="R5" s="13"/>
      <c r="S5" s="13"/>
      <c r="T5" s="13"/>
      <c r="U5" s="13"/>
      <c r="V5" s="7"/>
      <c r="W5" s="7"/>
      <c r="X5" s="7"/>
      <c r="Y5" s="7"/>
      <c r="Z5" s="7"/>
      <c r="AA5" s="7"/>
      <c r="AB5" s="7"/>
      <c r="AC5" s="7"/>
      <c r="AD5" s="7"/>
      <c r="AE5" s="7"/>
    </row>
    <row r="6" spans="1:73" ht="16" x14ac:dyDescent="0.2">
      <c r="A6" s="7"/>
      <c r="B6" s="8"/>
      <c r="C6" s="23"/>
      <c r="D6" s="10" t="s">
        <v>12</v>
      </c>
      <c r="E6" s="187">
        <f>'INPUT DATA'!F16</f>
        <v>0</v>
      </c>
      <c r="F6" s="168"/>
      <c r="G6" s="169"/>
      <c r="H6" s="13"/>
      <c r="I6" s="10" t="s">
        <v>13</v>
      </c>
      <c r="J6" s="10"/>
      <c r="K6" s="188">
        <f>'INPUT DATA'!F15</f>
        <v>0</v>
      </c>
      <c r="L6" s="168"/>
      <c r="M6" s="169"/>
      <c r="N6" s="27"/>
      <c r="O6" s="28"/>
      <c r="P6" s="28"/>
      <c r="Q6" s="28"/>
      <c r="R6" s="28"/>
      <c r="S6" s="10" t="s">
        <v>15</v>
      </c>
      <c r="T6" s="188">
        <f>'INPUT DATA'!F18</f>
        <v>0</v>
      </c>
      <c r="U6" s="169"/>
      <c r="V6" s="7"/>
      <c r="W6" s="7"/>
      <c r="X6" s="7"/>
      <c r="Y6" s="7"/>
      <c r="Z6" s="7"/>
      <c r="AA6" s="7"/>
      <c r="AB6" s="7"/>
      <c r="AC6" s="7"/>
      <c r="AD6" s="7"/>
      <c r="AE6" s="7"/>
    </row>
    <row r="7" spans="1:73" ht="13" x14ac:dyDescent="0.15">
      <c r="A7" s="5"/>
      <c r="B7" s="29"/>
      <c r="C7" s="30"/>
      <c r="D7" s="30"/>
      <c r="E7" s="5"/>
      <c r="F7" s="5"/>
      <c r="G7" s="31"/>
      <c r="I7" s="5"/>
      <c r="J7" s="5"/>
      <c r="K7" s="5"/>
      <c r="L7" s="30"/>
      <c r="M7" s="5"/>
      <c r="N7" s="5"/>
      <c r="O7" s="30"/>
      <c r="P7" s="30"/>
      <c r="Q7" s="30"/>
      <c r="R7" s="30"/>
      <c r="S7" s="5"/>
      <c r="T7" s="30"/>
      <c r="U7" s="5"/>
      <c r="V7" s="5"/>
      <c r="W7" s="5"/>
      <c r="X7" s="5"/>
      <c r="Y7" s="5"/>
      <c r="Z7" s="5"/>
      <c r="AA7" s="5"/>
      <c r="AB7" s="5"/>
      <c r="AC7" s="5"/>
      <c r="AD7" s="5"/>
      <c r="AE7" s="5"/>
    </row>
    <row r="8" spans="1:73" ht="15.75" customHeight="1" x14ac:dyDescent="0.15">
      <c r="A8" s="5"/>
      <c r="B8" s="5"/>
      <c r="C8" s="33"/>
      <c r="D8" s="30"/>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row>
    <row r="9" spans="1:73" ht="15.75" customHeight="1" x14ac:dyDescent="0.15">
      <c r="A9" s="2"/>
      <c r="B9" s="189" t="s">
        <v>17</v>
      </c>
      <c r="C9" s="115"/>
      <c r="D9" s="115"/>
      <c r="E9" s="115"/>
      <c r="F9" s="115"/>
      <c r="G9" s="115"/>
      <c r="H9" s="116"/>
      <c r="I9" s="201" t="s">
        <v>18</v>
      </c>
      <c r="J9" s="116"/>
      <c r="K9" s="201" t="s">
        <v>19</v>
      </c>
      <c r="L9" s="182"/>
      <c r="M9" s="203" t="s">
        <v>20</v>
      </c>
      <c r="N9" s="178" t="s">
        <v>21</v>
      </c>
      <c r="O9" s="163"/>
      <c r="P9" s="163"/>
      <c r="Q9" s="179"/>
      <c r="R9" s="180">
        <f>'INPUT DATA'!F27</f>
        <v>0</v>
      </c>
      <c r="S9" s="163"/>
      <c r="T9" s="163"/>
      <c r="U9" s="163"/>
      <c r="V9" s="163"/>
      <c r="W9" s="163"/>
      <c r="X9" s="163"/>
      <c r="Y9" s="163"/>
      <c r="Z9" s="163"/>
      <c r="AA9" s="163"/>
      <c r="AB9" s="163"/>
      <c r="AC9" s="163"/>
      <c r="AD9" s="154"/>
      <c r="AE9" s="181" t="s">
        <v>22</v>
      </c>
      <c r="AF9" s="115"/>
      <c r="AG9" s="182"/>
      <c r="AH9" s="183">
        <f>'INPUT DATA'!F26</f>
        <v>0</v>
      </c>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6"/>
    </row>
    <row r="10" spans="1:73" ht="15.75" customHeight="1" x14ac:dyDescent="0.15">
      <c r="A10" s="2"/>
      <c r="B10" s="140"/>
      <c r="C10" s="109"/>
      <c r="D10" s="109"/>
      <c r="E10" s="109"/>
      <c r="F10" s="109"/>
      <c r="G10" s="109"/>
      <c r="H10" s="142"/>
      <c r="I10" s="140"/>
      <c r="J10" s="142"/>
      <c r="K10" s="140"/>
      <c r="L10" s="138"/>
      <c r="M10" s="204"/>
      <c r="N10" s="184" t="s">
        <v>24</v>
      </c>
      <c r="O10" s="137"/>
      <c r="P10" s="137"/>
      <c r="Q10" s="132"/>
      <c r="R10" s="185">
        <f>'INPUT DATA'!F28</f>
        <v>0</v>
      </c>
      <c r="S10" s="156"/>
      <c r="T10" s="156"/>
      <c r="U10" s="156"/>
      <c r="V10" s="156"/>
      <c r="W10" s="156"/>
      <c r="X10" s="156"/>
      <c r="Y10" s="156"/>
      <c r="Z10" s="156"/>
      <c r="AA10" s="156"/>
      <c r="AB10" s="156"/>
      <c r="AC10" s="156"/>
      <c r="AD10" s="157"/>
      <c r="AE10" s="136"/>
      <c r="AF10" s="136"/>
      <c r="AG10" s="134"/>
      <c r="AH10" s="141"/>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3"/>
    </row>
    <row r="11" spans="1:73" ht="34.5" customHeight="1" x14ac:dyDescent="0.15">
      <c r="A11" s="5"/>
      <c r="B11" s="141"/>
      <c r="C11" s="144"/>
      <c r="D11" s="144"/>
      <c r="E11" s="144"/>
      <c r="F11" s="144"/>
      <c r="G11" s="144"/>
      <c r="H11" s="143"/>
      <c r="I11" s="141"/>
      <c r="J11" s="143"/>
      <c r="K11" s="141"/>
      <c r="L11" s="202"/>
      <c r="M11" s="204"/>
      <c r="N11" s="167" t="s">
        <v>25</v>
      </c>
      <c r="O11" s="168"/>
      <c r="P11" s="168"/>
      <c r="Q11" s="168"/>
      <c r="R11" s="169"/>
      <c r="S11" s="167" t="s">
        <v>26</v>
      </c>
      <c r="T11" s="168"/>
      <c r="U11" s="168"/>
      <c r="V11" s="168"/>
      <c r="W11" s="168"/>
      <c r="X11" s="168"/>
      <c r="Y11" s="169"/>
      <c r="Z11" s="170" t="s">
        <v>27</v>
      </c>
      <c r="AA11" s="115"/>
      <c r="AB11" s="115"/>
      <c r="AC11" s="115"/>
      <c r="AD11" s="115"/>
      <c r="AE11" s="115"/>
      <c r="AF11" s="115"/>
      <c r="AG11" s="115"/>
      <c r="AH11" s="115"/>
      <c r="AI11" s="115"/>
      <c r="AJ11" s="115"/>
      <c r="AK11" s="115"/>
      <c r="AL11" s="115"/>
      <c r="AM11" s="115"/>
      <c r="AN11" s="115"/>
      <c r="AO11" s="115"/>
      <c r="AP11" s="115"/>
      <c r="AQ11" s="115"/>
      <c r="AR11" s="115"/>
      <c r="AS11" s="116"/>
      <c r="AT11" s="170" t="s">
        <v>29</v>
      </c>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6"/>
    </row>
    <row r="12" spans="1:73" ht="34.5" customHeight="1" x14ac:dyDescent="0.15">
      <c r="A12" s="5"/>
      <c r="B12" s="201" t="s">
        <v>30</v>
      </c>
      <c r="C12" s="115"/>
      <c r="D12" s="115"/>
      <c r="E12" s="116"/>
      <c r="F12" s="201" t="s">
        <v>8</v>
      </c>
      <c r="G12" s="116"/>
      <c r="H12" s="203" t="s">
        <v>31</v>
      </c>
      <c r="I12" s="203" t="s">
        <v>32</v>
      </c>
      <c r="J12" s="203" t="s">
        <v>33</v>
      </c>
      <c r="K12" s="203" t="s">
        <v>32</v>
      </c>
      <c r="L12" s="190" t="s">
        <v>33</v>
      </c>
      <c r="M12" s="204"/>
      <c r="N12" s="191">
        <v>1</v>
      </c>
      <c r="O12" s="164">
        <v>2</v>
      </c>
      <c r="P12" s="164">
        <v>3</v>
      </c>
      <c r="Q12" s="164">
        <v>4</v>
      </c>
      <c r="R12" s="164">
        <v>5</v>
      </c>
      <c r="S12" s="164">
        <v>1</v>
      </c>
      <c r="T12" s="164">
        <v>2</v>
      </c>
      <c r="U12" s="164">
        <v>3</v>
      </c>
      <c r="V12" s="164">
        <v>4</v>
      </c>
      <c r="W12" s="164">
        <v>5</v>
      </c>
      <c r="X12" s="164">
        <v>6</v>
      </c>
      <c r="Y12" s="194">
        <v>7</v>
      </c>
      <c r="Z12" s="191">
        <v>1</v>
      </c>
      <c r="AA12" s="164">
        <v>2</v>
      </c>
      <c r="AB12" s="164">
        <v>3</v>
      </c>
      <c r="AC12" s="164">
        <v>4</v>
      </c>
      <c r="AD12" s="164">
        <v>5</v>
      </c>
      <c r="AE12" s="164">
        <v>6</v>
      </c>
      <c r="AF12" s="164">
        <v>7</v>
      </c>
      <c r="AG12" s="164">
        <v>8</v>
      </c>
      <c r="AH12" s="164">
        <v>9</v>
      </c>
      <c r="AI12" s="164">
        <v>10</v>
      </c>
      <c r="AJ12" s="164">
        <v>11</v>
      </c>
      <c r="AK12" s="164">
        <v>12</v>
      </c>
      <c r="AL12" s="164">
        <v>13</v>
      </c>
      <c r="AM12" s="164">
        <v>14</v>
      </c>
      <c r="AN12" s="164">
        <v>15</v>
      </c>
      <c r="AO12" s="164">
        <v>16</v>
      </c>
      <c r="AP12" s="164">
        <v>17</v>
      </c>
      <c r="AQ12" s="164">
        <v>18</v>
      </c>
      <c r="AR12" s="164">
        <v>19</v>
      </c>
      <c r="AS12" s="197">
        <v>20</v>
      </c>
      <c r="AT12" s="171" t="s">
        <v>36</v>
      </c>
      <c r="AU12" s="139"/>
      <c r="AV12" s="139"/>
      <c r="AW12" s="122"/>
      <c r="AX12" s="172" t="s">
        <v>37</v>
      </c>
      <c r="AY12" s="122"/>
      <c r="AZ12" s="172" t="s">
        <v>38</v>
      </c>
      <c r="BA12" s="139"/>
      <c r="BB12" s="139"/>
      <c r="BC12" s="139"/>
      <c r="BD12" s="139"/>
      <c r="BE12" s="122"/>
      <c r="BF12" s="172" t="s">
        <v>39</v>
      </c>
      <c r="BG12" s="139"/>
      <c r="BH12" s="139"/>
      <c r="BI12" s="139"/>
      <c r="BJ12" s="139"/>
      <c r="BK12" s="122"/>
      <c r="BL12" s="172" t="s">
        <v>40</v>
      </c>
      <c r="BM12" s="122"/>
      <c r="BN12" s="172" t="s">
        <v>41</v>
      </c>
      <c r="BO12" s="139"/>
      <c r="BP12" s="122"/>
      <c r="BQ12" s="172" t="s">
        <v>42</v>
      </c>
      <c r="BR12" s="139"/>
      <c r="BS12" s="139"/>
      <c r="BT12" s="139"/>
      <c r="BU12" s="146"/>
    </row>
    <row r="13" spans="1:73" ht="51" customHeight="1" x14ac:dyDescent="0.15">
      <c r="A13" s="5"/>
      <c r="B13" s="140"/>
      <c r="C13" s="109"/>
      <c r="D13" s="109"/>
      <c r="E13" s="142"/>
      <c r="F13" s="140"/>
      <c r="G13" s="142"/>
      <c r="H13" s="204"/>
      <c r="I13" s="204"/>
      <c r="J13" s="204"/>
      <c r="K13" s="204"/>
      <c r="L13" s="142"/>
      <c r="M13" s="204"/>
      <c r="N13" s="135"/>
      <c r="O13" s="165"/>
      <c r="P13" s="165"/>
      <c r="Q13" s="165"/>
      <c r="R13" s="165"/>
      <c r="S13" s="165"/>
      <c r="T13" s="165"/>
      <c r="U13" s="165"/>
      <c r="V13" s="165"/>
      <c r="W13" s="165"/>
      <c r="X13" s="165"/>
      <c r="Y13" s="195"/>
      <c r="Z13" s="135"/>
      <c r="AA13" s="165"/>
      <c r="AB13" s="165"/>
      <c r="AC13" s="165"/>
      <c r="AD13" s="165"/>
      <c r="AE13" s="165"/>
      <c r="AF13" s="165"/>
      <c r="AG13" s="165"/>
      <c r="AH13" s="165"/>
      <c r="AI13" s="165"/>
      <c r="AJ13" s="165"/>
      <c r="AK13" s="165"/>
      <c r="AL13" s="165"/>
      <c r="AM13" s="165"/>
      <c r="AN13" s="165"/>
      <c r="AO13" s="165"/>
      <c r="AP13" s="165"/>
      <c r="AQ13" s="165"/>
      <c r="AR13" s="165"/>
      <c r="AS13" s="198"/>
      <c r="AT13" s="199">
        <v>1</v>
      </c>
      <c r="AU13" s="175">
        <v>2</v>
      </c>
      <c r="AV13" s="175">
        <v>3</v>
      </c>
      <c r="AW13" s="175">
        <v>4</v>
      </c>
      <c r="AX13" s="175">
        <v>5</v>
      </c>
      <c r="AY13" s="175">
        <v>6</v>
      </c>
      <c r="AZ13" s="175">
        <v>7</v>
      </c>
      <c r="BA13" s="175">
        <v>8</v>
      </c>
      <c r="BB13" s="175">
        <v>9</v>
      </c>
      <c r="BC13" s="175">
        <v>10</v>
      </c>
      <c r="BD13" s="175">
        <v>11</v>
      </c>
      <c r="BE13" s="175">
        <v>12</v>
      </c>
      <c r="BF13" s="48" t="s">
        <v>44</v>
      </c>
      <c r="BG13" s="173" t="s">
        <v>45</v>
      </c>
      <c r="BH13" s="174"/>
      <c r="BI13" s="48"/>
      <c r="BJ13" s="173" t="s">
        <v>46</v>
      </c>
      <c r="BK13" s="174"/>
      <c r="BL13" s="175">
        <v>19</v>
      </c>
      <c r="BM13" s="175">
        <v>20</v>
      </c>
      <c r="BN13" s="175">
        <v>21</v>
      </c>
      <c r="BO13" s="175">
        <v>22</v>
      </c>
      <c r="BP13" s="175">
        <v>23</v>
      </c>
      <c r="BQ13" s="175">
        <v>24</v>
      </c>
      <c r="BR13" s="175">
        <v>25</v>
      </c>
      <c r="BS13" s="175">
        <v>26</v>
      </c>
      <c r="BT13" s="175">
        <v>27</v>
      </c>
      <c r="BU13" s="176">
        <v>28</v>
      </c>
    </row>
    <row r="14" spans="1:73" ht="15.75" customHeight="1" x14ac:dyDescent="0.15">
      <c r="A14" s="5"/>
      <c r="B14" s="141"/>
      <c r="C14" s="144"/>
      <c r="D14" s="144"/>
      <c r="E14" s="143"/>
      <c r="F14" s="141"/>
      <c r="G14" s="143"/>
      <c r="H14" s="205"/>
      <c r="I14" s="205"/>
      <c r="J14" s="205"/>
      <c r="K14" s="205"/>
      <c r="L14" s="143"/>
      <c r="M14" s="205"/>
      <c r="N14" s="192"/>
      <c r="O14" s="166"/>
      <c r="P14" s="166"/>
      <c r="Q14" s="166"/>
      <c r="R14" s="166"/>
      <c r="S14" s="166"/>
      <c r="T14" s="166"/>
      <c r="U14" s="166"/>
      <c r="V14" s="166"/>
      <c r="W14" s="166"/>
      <c r="X14" s="166"/>
      <c r="Y14" s="196"/>
      <c r="Z14" s="192"/>
      <c r="AA14" s="166"/>
      <c r="AB14" s="166"/>
      <c r="AC14" s="166"/>
      <c r="AD14" s="166"/>
      <c r="AE14" s="166"/>
      <c r="AF14" s="166"/>
      <c r="AG14" s="166"/>
      <c r="AH14" s="166"/>
      <c r="AI14" s="166"/>
      <c r="AJ14" s="166"/>
      <c r="AK14" s="166"/>
      <c r="AL14" s="166"/>
      <c r="AM14" s="166"/>
      <c r="AN14" s="166"/>
      <c r="AO14" s="166"/>
      <c r="AP14" s="166"/>
      <c r="AQ14" s="166"/>
      <c r="AR14" s="166"/>
      <c r="AS14" s="177"/>
      <c r="AT14" s="200"/>
      <c r="AU14" s="166"/>
      <c r="AV14" s="166"/>
      <c r="AW14" s="166"/>
      <c r="AX14" s="166"/>
      <c r="AY14" s="166"/>
      <c r="AZ14" s="166"/>
      <c r="BA14" s="166"/>
      <c r="BB14" s="166"/>
      <c r="BC14" s="166"/>
      <c r="BD14" s="166"/>
      <c r="BE14" s="166"/>
      <c r="BF14" s="52">
        <v>13</v>
      </c>
      <c r="BG14" s="52">
        <v>14</v>
      </c>
      <c r="BH14" s="52">
        <v>15</v>
      </c>
      <c r="BI14" s="52">
        <v>16</v>
      </c>
      <c r="BJ14" s="52">
        <v>17</v>
      </c>
      <c r="BK14" s="52">
        <v>18</v>
      </c>
      <c r="BL14" s="166"/>
      <c r="BM14" s="166"/>
      <c r="BN14" s="166"/>
      <c r="BO14" s="166"/>
      <c r="BP14" s="166"/>
      <c r="BQ14" s="166"/>
      <c r="BR14" s="166"/>
      <c r="BS14" s="166"/>
      <c r="BT14" s="166"/>
      <c r="BU14" s="177"/>
    </row>
    <row r="15" spans="1:73" ht="15.75" customHeight="1" x14ac:dyDescent="0.15">
      <c r="A15" s="7"/>
      <c r="B15" s="193" t="s">
        <v>7</v>
      </c>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9"/>
    </row>
    <row r="16" spans="1:73" ht="15.75" customHeight="1" x14ac:dyDescent="0.15">
      <c r="A16" s="7"/>
      <c r="B16" s="53">
        <v>1</v>
      </c>
      <c r="C16" s="151" t="str">
        <f>IF('INPUT DATA'!L11="","",'INPUT DATA'!L11)</f>
        <v/>
      </c>
      <c r="D16" s="152"/>
      <c r="E16" s="150"/>
      <c r="F16" s="153" t="str">
        <f>IF('INPUT DATA'!M11="","",'INPUT DATA'!M11)</f>
        <v/>
      </c>
      <c r="G16" s="154"/>
      <c r="H16" s="54" t="str">
        <f>IF('INPUT DATA'!N11="","",'INPUT DATA'!N11)</f>
        <v/>
      </c>
      <c r="I16" s="55" t="str">
        <f t="shared" ref="I16:I64" si="0">IF(H16="","",DATEDIF(H16,DATE(2026,6,8),"Y"))</f>
        <v/>
      </c>
      <c r="J16" s="56" t="str">
        <f t="shared" ref="J16:J64" si="1">IF(H16="","",DATEDIF(H16,DATE(2026,6,8),"YM"))</f>
        <v/>
      </c>
      <c r="K16" s="56" t="str">
        <f t="shared" ref="K16:K64" si="2">IF(H16="","",DATEDIF(H16,DATE(2027,4,8),"Y"))</f>
        <v/>
      </c>
      <c r="L16" s="57" t="str">
        <f t="shared" ref="L16:L64" si="3">IF(H16="","",DATEDIF(H16,DATE(2027,4,8),"YM"))</f>
        <v/>
      </c>
      <c r="M16" s="58" t="s">
        <v>47</v>
      </c>
      <c r="N16" s="59"/>
      <c r="O16" s="60"/>
      <c r="P16" s="60"/>
      <c r="Q16" s="60"/>
      <c r="R16" s="60"/>
      <c r="S16" s="60"/>
      <c r="T16" s="60"/>
      <c r="U16" s="60"/>
      <c r="V16" s="60"/>
      <c r="W16" s="60"/>
      <c r="X16" s="60"/>
      <c r="Y16" s="61"/>
      <c r="Z16" s="59"/>
      <c r="AA16" s="60"/>
      <c r="AB16" s="60"/>
      <c r="AC16" s="60"/>
      <c r="AD16" s="60"/>
      <c r="AE16" s="60"/>
      <c r="AF16" s="60"/>
      <c r="AG16" s="60"/>
      <c r="AH16" s="60"/>
      <c r="AI16" s="60"/>
      <c r="AJ16" s="60"/>
      <c r="AK16" s="60"/>
      <c r="AL16" s="60"/>
      <c r="AM16" s="60"/>
      <c r="AN16" s="60"/>
      <c r="AO16" s="60"/>
      <c r="AP16" s="60"/>
      <c r="AQ16" s="60"/>
      <c r="AR16" s="60"/>
      <c r="AS16" s="61"/>
      <c r="AT16" s="59"/>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1"/>
    </row>
    <row r="17" spans="1:73" ht="15.75" customHeight="1" x14ac:dyDescent="0.15">
      <c r="A17" s="7"/>
      <c r="B17" s="62">
        <v>2</v>
      </c>
      <c r="C17" s="148" t="str">
        <f>IF('INPUT DATA'!L12="","",'INPUT DATA'!L12)</f>
        <v/>
      </c>
      <c r="D17" s="139"/>
      <c r="E17" s="146"/>
      <c r="F17" s="149" t="str">
        <f>IF('INPUT DATA'!M12="","",'INPUT DATA'!M12)</f>
        <v/>
      </c>
      <c r="G17" s="150"/>
      <c r="H17" s="63" t="str">
        <f>IF('INPUT DATA'!N12="","",'INPUT DATA'!N12)</f>
        <v/>
      </c>
      <c r="I17" s="64" t="str">
        <f t="shared" si="0"/>
        <v/>
      </c>
      <c r="J17" s="65" t="str">
        <f t="shared" si="1"/>
        <v/>
      </c>
      <c r="K17" s="65" t="str">
        <f t="shared" si="2"/>
        <v/>
      </c>
      <c r="L17" s="66" t="str">
        <f t="shared" si="3"/>
        <v/>
      </c>
      <c r="M17" s="67" t="s">
        <v>47</v>
      </c>
      <c r="N17" s="68"/>
      <c r="O17" s="69"/>
      <c r="P17" s="69"/>
      <c r="Q17" s="69"/>
      <c r="R17" s="69"/>
      <c r="S17" s="69"/>
      <c r="T17" s="69"/>
      <c r="U17" s="69"/>
      <c r="V17" s="69"/>
      <c r="W17" s="69"/>
      <c r="X17" s="69"/>
      <c r="Y17" s="70"/>
      <c r="Z17" s="68"/>
      <c r="AA17" s="69"/>
      <c r="AB17" s="69"/>
      <c r="AC17" s="69"/>
      <c r="AD17" s="69"/>
      <c r="AE17" s="69"/>
      <c r="AF17" s="69"/>
      <c r="AG17" s="69"/>
      <c r="AH17" s="69"/>
      <c r="AI17" s="69"/>
      <c r="AJ17" s="69"/>
      <c r="AK17" s="69"/>
      <c r="AL17" s="69"/>
      <c r="AM17" s="69"/>
      <c r="AN17" s="69"/>
      <c r="AO17" s="69"/>
      <c r="AP17" s="69"/>
      <c r="AQ17" s="69"/>
      <c r="AR17" s="69"/>
      <c r="AS17" s="70"/>
      <c r="AT17" s="68"/>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70"/>
    </row>
    <row r="18" spans="1:73" ht="15.75" customHeight="1" x14ac:dyDescent="0.15">
      <c r="A18" s="7"/>
      <c r="B18" s="62">
        <v>3</v>
      </c>
      <c r="C18" s="148" t="str">
        <f>IF('INPUT DATA'!L13="","",'INPUT DATA'!L13)</f>
        <v/>
      </c>
      <c r="D18" s="139"/>
      <c r="E18" s="146"/>
      <c r="F18" s="149" t="str">
        <f>IF('INPUT DATA'!M13="","",'INPUT DATA'!M13)</f>
        <v/>
      </c>
      <c r="G18" s="150"/>
      <c r="H18" s="63" t="str">
        <f>IF('INPUT DATA'!N13="","",'INPUT DATA'!N13)</f>
        <v/>
      </c>
      <c r="I18" s="64" t="str">
        <f t="shared" si="0"/>
        <v/>
      </c>
      <c r="J18" s="65" t="str">
        <f t="shared" si="1"/>
        <v/>
      </c>
      <c r="K18" s="65" t="str">
        <f t="shared" si="2"/>
        <v/>
      </c>
      <c r="L18" s="66" t="str">
        <f t="shared" si="3"/>
        <v/>
      </c>
      <c r="M18" s="67" t="s">
        <v>47</v>
      </c>
      <c r="N18" s="73"/>
      <c r="O18" s="74"/>
      <c r="P18" s="74"/>
      <c r="Q18" s="74"/>
      <c r="R18" s="74"/>
      <c r="S18" s="74"/>
      <c r="T18" s="74"/>
      <c r="U18" s="74"/>
      <c r="V18" s="74"/>
      <c r="W18" s="74"/>
      <c r="X18" s="74"/>
      <c r="Y18" s="75"/>
      <c r="Z18" s="73"/>
      <c r="AA18" s="74"/>
      <c r="AB18" s="74"/>
      <c r="AC18" s="74"/>
      <c r="AD18" s="74"/>
      <c r="AE18" s="74"/>
      <c r="AF18" s="74"/>
      <c r="AG18" s="74"/>
      <c r="AH18" s="74"/>
      <c r="AI18" s="74"/>
      <c r="AJ18" s="74"/>
      <c r="AK18" s="74"/>
      <c r="AL18" s="74"/>
      <c r="AM18" s="74"/>
      <c r="AN18" s="74"/>
      <c r="AO18" s="74"/>
      <c r="AP18" s="74"/>
      <c r="AQ18" s="74"/>
      <c r="AR18" s="74"/>
      <c r="AS18" s="75"/>
      <c r="AT18" s="73"/>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5"/>
    </row>
    <row r="19" spans="1:73" ht="15.75" customHeight="1" x14ac:dyDescent="0.15">
      <c r="A19" s="7"/>
      <c r="B19" s="76">
        <v>4</v>
      </c>
      <c r="C19" s="148" t="str">
        <f>IF('INPUT DATA'!L14="","",'INPUT DATA'!L14)</f>
        <v/>
      </c>
      <c r="D19" s="139"/>
      <c r="E19" s="146"/>
      <c r="F19" s="149" t="str">
        <f>IF('INPUT DATA'!M14="","",'INPUT DATA'!M14)</f>
        <v/>
      </c>
      <c r="G19" s="150"/>
      <c r="H19" s="63" t="str">
        <f>IF('INPUT DATA'!N14="","",'INPUT DATA'!N14)</f>
        <v/>
      </c>
      <c r="I19" s="64" t="str">
        <f t="shared" si="0"/>
        <v/>
      </c>
      <c r="J19" s="65" t="str">
        <f t="shared" si="1"/>
        <v/>
      </c>
      <c r="K19" s="65" t="str">
        <f t="shared" si="2"/>
        <v/>
      </c>
      <c r="L19" s="66" t="str">
        <f t="shared" si="3"/>
        <v/>
      </c>
      <c r="M19" s="77" t="s">
        <v>47</v>
      </c>
      <c r="N19" s="73"/>
      <c r="O19" s="74"/>
      <c r="P19" s="74"/>
      <c r="Q19" s="74"/>
      <c r="R19" s="74"/>
      <c r="S19" s="74"/>
      <c r="T19" s="74"/>
      <c r="U19" s="74"/>
      <c r="V19" s="74"/>
      <c r="W19" s="74"/>
      <c r="X19" s="74"/>
      <c r="Y19" s="75"/>
      <c r="Z19" s="73"/>
      <c r="AA19" s="74"/>
      <c r="AB19" s="74"/>
      <c r="AC19" s="74"/>
      <c r="AD19" s="74"/>
      <c r="AE19" s="74"/>
      <c r="AF19" s="74"/>
      <c r="AG19" s="74"/>
      <c r="AH19" s="74"/>
      <c r="AI19" s="74"/>
      <c r="AJ19" s="74"/>
      <c r="AK19" s="74"/>
      <c r="AL19" s="74"/>
      <c r="AM19" s="74"/>
      <c r="AN19" s="74"/>
      <c r="AO19" s="74"/>
      <c r="AP19" s="74"/>
      <c r="AQ19" s="74"/>
      <c r="AR19" s="74"/>
      <c r="AS19" s="75"/>
      <c r="AT19" s="73"/>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5"/>
    </row>
    <row r="20" spans="1:73" ht="15.75" customHeight="1" x14ac:dyDescent="0.15">
      <c r="A20" s="7"/>
      <c r="B20" s="76">
        <v>5</v>
      </c>
      <c r="C20" s="148" t="str">
        <f>IF('INPUT DATA'!L15="","",'INPUT DATA'!L15)</f>
        <v/>
      </c>
      <c r="D20" s="139"/>
      <c r="E20" s="146"/>
      <c r="F20" s="149" t="str">
        <f>IF('INPUT DATA'!M15="","",'INPUT DATA'!M15)</f>
        <v/>
      </c>
      <c r="G20" s="150"/>
      <c r="H20" s="63" t="str">
        <f>IF('INPUT DATA'!N15="","",'INPUT DATA'!N15)</f>
        <v/>
      </c>
      <c r="I20" s="64" t="str">
        <f t="shared" si="0"/>
        <v/>
      </c>
      <c r="J20" s="65" t="str">
        <f t="shared" si="1"/>
        <v/>
      </c>
      <c r="K20" s="65" t="str">
        <f t="shared" si="2"/>
        <v/>
      </c>
      <c r="L20" s="66" t="str">
        <f t="shared" si="3"/>
        <v/>
      </c>
      <c r="M20" s="77" t="s">
        <v>47</v>
      </c>
      <c r="N20" s="73"/>
      <c r="O20" s="74"/>
      <c r="P20" s="74"/>
      <c r="Q20" s="74"/>
      <c r="R20" s="74"/>
      <c r="S20" s="74"/>
      <c r="T20" s="74"/>
      <c r="U20" s="74"/>
      <c r="V20" s="74"/>
      <c r="W20" s="74"/>
      <c r="X20" s="74"/>
      <c r="Y20" s="75"/>
      <c r="Z20" s="73"/>
      <c r="AA20" s="74"/>
      <c r="AB20" s="74"/>
      <c r="AC20" s="74"/>
      <c r="AD20" s="74"/>
      <c r="AE20" s="74"/>
      <c r="AF20" s="74"/>
      <c r="AG20" s="74"/>
      <c r="AH20" s="74"/>
      <c r="AI20" s="74"/>
      <c r="AJ20" s="74"/>
      <c r="AK20" s="74"/>
      <c r="AL20" s="74"/>
      <c r="AM20" s="74"/>
      <c r="AN20" s="74"/>
      <c r="AO20" s="74"/>
      <c r="AP20" s="74"/>
      <c r="AQ20" s="74"/>
      <c r="AR20" s="74"/>
      <c r="AS20" s="75"/>
      <c r="AT20" s="73"/>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5"/>
    </row>
    <row r="21" spans="1:73" ht="15.75" customHeight="1" x14ac:dyDescent="0.15">
      <c r="A21" s="7"/>
      <c r="B21" s="76">
        <v>6</v>
      </c>
      <c r="C21" s="148" t="str">
        <f>IF('INPUT DATA'!L16="","",'INPUT DATA'!L16)</f>
        <v/>
      </c>
      <c r="D21" s="139"/>
      <c r="E21" s="146"/>
      <c r="F21" s="149" t="str">
        <f>IF('INPUT DATA'!M16="","",'INPUT DATA'!M16)</f>
        <v/>
      </c>
      <c r="G21" s="150"/>
      <c r="H21" s="63" t="str">
        <f>IF('INPUT DATA'!N16="","",'INPUT DATA'!N16)</f>
        <v/>
      </c>
      <c r="I21" s="64" t="str">
        <f t="shared" si="0"/>
        <v/>
      </c>
      <c r="J21" s="65" t="str">
        <f t="shared" si="1"/>
        <v/>
      </c>
      <c r="K21" s="65" t="str">
        <f t="shared" si="2"/>
        <v/>
      </c>
      <c r="L21" s="66" t="str">
        <f t="shared" si="3"/>
        <v/>
      </c>
      <c r="M21" s="77" t="s">
        <v>47</v>
      </c>
      <c r="N21" s="73"/>
      <c r="O21" s="74"/>
      <c r="P21" s="74"/>
      <c r="Q21" s="74"/>
      <c r="R21" s="74"/>
      <c r="S21" s="74"/>
      <c r="T21" s="74"/>
      <c r="U21" s="74"/>
      <c r="V21" s="74"/>
      <c r="W21" s="74"/>
      <c r="X21" s="74"/>
      <c r="Y21" s="75"/>
      <c r="Z21" s="73"/>
      <c r="AA21" s="74"/>
      <c r="AB21" s="74"/>
      <c r="AC21" s="74"/>
      <c r="AD21" s="74"/>
      <c r="AE21" s="74"/>
      <c r="AF21" s="74"/>
      <c r="AG21" s="74"/>
      <c r="AH21" s="74"/>
      <c r="AI21" s="74"/>
      <c r="AJ21" s="74"/>
      <c r="AK21" s="74"/>
      <c r="AL21" s="74"/>
      <c r="AM21" s="74"/>
      <c r="AN21" s="74"/>
      <c r="AO21" s="74"/>
      <c r="AP21" s="74"/>
      <c r="AQ21" s="74"/>
      <c r="AR21" s="74"/>
      <c r="AS21" s="75"/>
      <c r="AT21" s="73"/>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5"/>
    </row>
    <row r="22" spans="1:73" ht="15.75" customHeight="1" x14ac:dyDescent="0.15">
      <c r="A22" s="7"/>
      <c r="B22" s="76">
        <v>7</v>
      </c>
      <c r="C22" s="148" t="str">
        <f>IF('INPUT DATA'!L17="","",'INPUT DATA'!L17)</f>
        <v/>
      </c>
      <c r="D22" s="139"/>
      <c r="E22" s="146"/>
      <c r="F22" s="149" t="str">
        <f>IF('INPUT DATA'!M17="","",'INPUT DATA'!M17)</f>
        <v/>
      </c>
      <c r="G22" s="150"/>
      <c r="H22" s="63" t="str">
        <f>IF('INPUT DATA'!N17="","",'INPUT DATA'!N17)</f>
        <v/>
      </c>
      <c r="I22" s="64" t="str">
        <f t="shared" si="0"/>
        <v/>
      </c>
      <c r="J22" s="65" t="str">
        <f t="shared" si="1"/>
        <v/>
      </c>
      <c r="K22" s="65" t="str">
        <f t="shared" si="2"/>
        <v/>
      </c>
      <c r="L22" s="66" t="str">
        <f t="shared" si="3"/>
        <v/>
      </c>
      <c r="M22" s="77" t="s">
        <v>47</v>
      </c>
      <c r="N22" s="73"/>
      <c r="O22" s="74"/>
      <c r="P22" s="74"/>
      <c r="Q22" s="74"/>
      <c r="R22" s="74"/>
      <c r="S22" s="74"/>
      <c r="T22" s="74"/>
      <c r="U22" s="74"/>
      <c r="V22" s="74"/>
      <c r="W22" s="74"/>
      <c r="X22" s="74"/>
      <c r="Y22" s="75"/>
      <c r="Z22" s="73"/>
      <c r="AA22" s="74"/>
      <c r="AB22" s="74"/>
      <c r="AC22" s="74"/>
      <c r="AD22" s="74"/>
      <c r="AE22" s="74"/>
      <c r="AF22" s="74"/>
      <c r="AG22" s="74"/>
      <c r="AH22" s="74"/>
      <c r="AI22" s="74"/>
      <c r="AJ22" s="74"/>
      <c r="AK22" s="74"/>
      <c r="AL22" s="74"/>
      <c r="AM22" s="74"/>
      <c r="AN22" s="74"/>
      <c r="AO22" s="74"/>
      <c r="AP22" s="74"/>
      <c r="AQ22" s="74"/>
      <c r="AR22" s="74"/>
      <c r="AS22" s="75"/>
      <c r="AT22" s="73"/>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5"/>
    </row>
    <row r="23" spans="1:73" ht="15.75" customHeight="1" x14ac:dyDescent="0.15">
      <c r="A23" s="7"/>
      <c r="B23" s="76">
        <v>8</v>
      </c>
      <c r="C23" s="148" t="str">
        <f>IF('INPUT DATA'!L18="","",'INPUT DATA'!L18)</f>
        <v/>
      </c>
      <c r="D23" s="139"/>
      <c r="E23" s="146"/>
      <c r="F23" s="149" t="str">
        <f>IF('INPUT DATA'!M18="","",'INPUT DATA'!M18)</f>
        <v/>
      </c>
      <c r="G23" s="150"/>
      <c r="H23" s="63" t="str">
        <f>IF('INPUT DATA'!N18="","",'INPUT DATA'!N18)</f>
        <v/>
      </c>
      <c r="I23" s="64" t="str">
        <f t="shared" si="0"/>
        <v/>
      </c>
      <c r="J23" s="65" t="str">
        <f t="shared" si="1"/>
        <v/>
      </c>
      <c r="K23" s="65" t="str">
        <f t="shared" si="2"/>
        <v/>
      </c>
      <c r="L23" s="66" t="str">
        <f t="shared" si="3"/>
        <v/>
      </c>
      <c r="M23" s="77" t="s">
        <v>47</v>
      </c>
      <c r="N23" s="73"/>
      <c r="O23" s="74"/>
      <c r="P23" s="74"/>
      <c r="Q23" s="74"/>
      <c r="R23" s="74"/>
      <c r="S23" s="74"/>
      <c r="T23" s="74"/>
      <c r="U23" s="74"/>
      <c r="V23" s="74"/>
      <c r="W23" s="74"/>
      <c r="X23" s="74"/>
      <c r="Y23" s="75"/>
      <c r="Z23" s="73"/>
      <c r="AA23" s="74"/>
      <c r="AB23" s="74"/>
      <c r="AC23" s="74"/>
      <c r="AD23" s="74"/>
      <c r="AE23" s="74"/>
      <c r="AF23" s="74"/>
      <c r="AG23" s="74"/>
      <c r="AH23" s="74"/>
      <c r="AI23" s="74"/>
      <c r="AJ23" s="74"/>
      <c r="AK23" s="74"/>
      <c r="AL23" s="74"/>
      <c r="AM23" s="74"/>
      <c r="AN23" s="74"/>
      <c r="AO23" s="74"/>
      <c r="AP23" s="74"/>
      <c r="AQ23" s="74"/>
      <c r="AR23" s="74"/>
      <c r="AS23" s="75"/>
      <c r="AT23" s="73"/>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5"/>
    </row>
    <row r="24" spans="1:73" ht="15.75" customHeight="1" x14ac:dyDescent="0.15">
      <c r="A24" s="7"/>
      <c r="B24" s="76">
        <v>9</v>
      </c>
      <c r="C24" s="148" t="str">
        <f>IF('INPUT DATA'!L19="","",'INPUT DATA'!L19)</f>
        <v/>
      </c>
      <c r="D24" s="139"/>
      <c r="E24" s="146"/>
      <c r="F24" s="149" t="str">
        <f>IF('INPUT DATA'!M19="","",'INPUT DATA'!M19)</f>
        <v/>
      </c>
      <c r="G24" s="150"/>
      <c r="H24" s="63" t="str">
        <f>IF('INPUT DATA'!N19="","",'INPUT DATA'!N19)</f>
        <v/>
      </c>
      <c r="I24" s="64" t="str">
        <f t="shared" si="0"/>
        <v/>
      </c>
      <c r="J24" s="65" t="str">
        <f t="shared" si="1"/>
        <v/>
      </c>
      <c r="K24" s="65" t="str">
        <f t="shared" si="2"/>
        <v/>
      </c>
      <c r="L24" s="66" t="str">
        <f t="shared" si="3"/>
        <v/>
      </c>
      <c r="M24" s="77" t="s">
        <v>47</v>
      </c>
      <c r="N24" s="73"/>
      <c r="O24" s="74"/>
      <c r="P24" s="74"/>
      <c r="Q24" s="74"/>
      <c r="R24" s="74"/>
      <c r="S24" s="74"/>
      <c r="T24" s="74"/>
      <c r="U24" s="74"/>
      <c r="V24" s="74"/>
      <c r="W24" s="74"/>
      <c r="X24" s="74"/>
      <c r="Y24" s="75"/>
      <c r="Z24" s="73"/>
      <c r="AA24" s="74"/>
      <c r="AB24" s="74"/>
      <c r="AC24" s="74"/>
      <c r="AD24" s="74"/>
      <c r="AE24" s="74"/>
      <c r="AF24" s="74"/>
      <c r="AG24" s="74"/>
      <c r="AH24" s="74"/>
      <c r="AI24" s="74"/>
      <c r="AJ24" s="74"/>
      <c r="AK24" s="74"/>
      <c r="AL24" s="74"/>
      <c r="AM24" s="74"/>
      <c r="AN24" s="74"/>
      <c r="AO24" s="74"/>
      <c r="AP24" s="74"/>
      <c r="AQ24" s="74"/>
      <c r="AR24" s="74"/>
      <c r="AS24" s="75"/>
      <c r="AT24" s="73"/>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5"/>
    </row>
    <row r="25" spans="1:73" ht="15.75" customHeight="1" x14ac:dyDescent="0.15">
      <c r="A25" s="7"/>
      <c r="B25" s="76">
        <v>10</v>
      </c>
      <c r="C25" s="148" t="str">
        <f>IF('INPUT DATA'!L20="","",'INPUT DATA'!L20)</f>
        <v/>
      </c>
      <c r="D25" s="139"/>
      <c r="E25" s="146"/>
      <c r="F25" s="149" t="str">
        <f>IF('INPUT DATA'!M20="","",'INPUT DATA'!M20)</f>
        <v/>
      </c>
      <c r="G25" s="150"/>
      <c r="H25" s="63" t="str">
        <f>IF('INPUT DATA'!N20="","",'INPUT DATA'!N20)</f>
        <v/>
      </c>
      <c r="I25" s="64" t="str">
        <f t="shared" si="0"/>
        <v/>
      </c>
      <c r="J25" s="65" t="str">
        <f t="shared" si="1"/>
        <v/>
      </c>
      <c r="K25" s="65" t="str">
        <f t="shared" si="2"/>
        <v/>
      </c>
      <c r="L25" s="66" t="str">
        <f t="shared" si="3"/>
        <v/>
      </c>
      <c r="M25" s="77" t="s">
        <v>47</v>
      </c>
      <c r="N25" s="73"/>
      <c r="O25" s="74"/>
      <c r="P25" s="74"/>
      <c r="Q25" s="74"/>
      <c r="R25" s="74"/>
      <c r="S25" s="74"/>
      <c r="T25" s="74"/>
      <c r="U25" s="74"/>
      <c r="V25" s="74"/>
      <c r="W25" s="74"/>
      <c r="X25" s="74"/>
      <c r="Y25" s="75"/>
      <c r="Z25" s="73"/>
      <c r="AA25" s="74"/>
      <c r="AB25" s="74"/>
      <c r="AC25" s="74"/>
      <c r="AD25" s="74"/>
      <c r="AE25" s="74"/>
      <c r="AF25" s="74"/>
      <c r="AG25" s="74"/>
      <c r="AH25" s="74"/>
      <c r="AI25" s="74"/>
      <c r="AJ25" s="74"/>
      <c r="AK25" s="74"/>
      <c r="AL25" s="74"/>
      <c r="AM25" s="74"/>
      <c r="AN25" s="74"/>
      <c r="AO25" s="74"/>
      <c r="AP25" s="74"/>
      <c r="AQ25" s="74"/>
      <c r="AR25" s="74"/>
      <c r="AS25" s="75"/>
      <c r="AT25" s="73"/>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5"/>
    </row>
    <row r="26" spans="1:73" ht="15.75" customHeight="1" x14ac:dyDescent="0.15">
      <c r="A26" s="7"/>
      <c r="B26" s="76">
        <v>11</v>
      </c>
      <c r="C26" s="148" t="str">
        <f>IF('INPUT DATA'!L21="","",'INPUT DATA'!L21)</f>
        <v/>
      </c>
      <c r="D26" s="139"/>
      <c r="E26" s="146"/>
      <c r="F26" s="149" t="str">
        <f>IF('INPUT DATA'!M21="","",'INPUT DATA'!M21)</f>
        <v/>
      </c>
      <c r="G26" s="150"/>
      <c r="H26" s="63" t="str">
        <f>IF('INPUT DATA'!N21="","",'INPUT DATA'!N21)</f>
        <v/>
      </c>
      <c r="I26" s="64" t="str">
        <f t="shared" si="0"/>
        <v/>
      </c>
      <c r="J26" s="65" t="str">
        <f t="shared" si="1"/>
        <v/>
      </c>
      <c r="K26" s="65" t="str">
        <f t="shared" si="2"/>
        <v/>
      </c>
      <c r="L26" s="66" t="str">
        <f t="shared" si="3"/>
        <v/>
      </c>
      <c r="M26" s="77" t="s">
        <v>47</v>
      </c>
      <c r="N26" s="73"/>
      <c r="O26" s="74"/>
      <c r="P26" s="74"/>
      <c r="Q26" s="74"/>
      <c r="R26" s="74"/>
      <c r="S26" s="74"/>
      <c r="T26" s="74"/>
      <c r="U26" s="74"/>
      <c r="V26" s="74"/>
      <c r="W26" s="74"/>
      <c r="X26" s="74"/>
      <c r="Y26" s="75"/>
      <c r="Z26" s="73"/>
      <c r="AA26" s="74"/>
      <c r="AB26" s="74"/>
      <c r="AC26" s="74"/>
      <c r="AD26" s="74"/>
      <c r="AE26" s="74"/>
      <c r="AF26" s="74"/>
      <c r="AG26" s="74"/>
      <c r="AH26" s="74"/>
      <c r="AI26" s="74"/>
      <c r="AJ26" s="74"/>
      <c r="AK26" s="74"/>
      <c r="AL26" s="74"/>
      <c r="AM26" s="74"/>
      <c r="AN26" s="74"/>
      <c r="AO26" s="74"/>
      <c r="AP26" s="74"/>
      <c r="AQ26" s="74"/>
      <c r="AR26" s="74"/>
      <c r="AS26" s="75"/>
      <c r="AT26" s="73"/>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5"/>
    </row>
    <row r="27" spans="1:73" ht="15.75" customHeight="1" x14ac:dyDescent="0.15">
      <c r="A27" s="7"/>
      <c r="B27" s="76">
        <v>12</v>
      </c>
      <c r="C27" s="148" t="str">
        <f>IF('INPUT DATA'!L22="","",'INPUT DATA'!L22)</f>
        <v/>
      </c>
      <c r="D27" s="139"/>
      <c r="E27" s="146"/>
      <c r="F27" s="149" t="str">
        <f>IF('INPUT DATA'!M22="","",'INPUT DATA'!M22)</f>
        <v/>
      </c>
      <c r="G27" s="150"/>
      <c r="H27" s="63" t="str">
        <f>IF('INPUT DATA'!N22="","",'INPUT DATA'!N22)</f>
        <v/>
      </c>
      <c r="I27" s="64" t="str">
        <f t="shared" si="0"/>
        <v/>
      </c>
      <c r="J27" s="65" t="str">
        <f t="shared" si="1"/>
        <v/>
      </c>
      <c r="K27" s="65" t="str">
        <f t="shared" si="2"/>
        <v/>
      </c>
      <c r="L27" s="66" t="str">
        <f t="shared" si="3"/>
        <v/>
      </c>
      <c r="M27" s="77" t="s">
        <v>47</v>
      </c>
      <c r="N27" s="73"/>
      <c r="O27" s="74"/>
      <c r="P27" s="74"/>
      <c r="Q27" s="74"/>
      <c r="R27" s="74"/>
      <c r="S27" s="74"/>
      <c r="T27" s="74"/>
      <c r="U27" s="74"/>
      <c r="V27" s="74"/>
      <c r="W27" s="74"/>
      <c r="X27" s="74"/>
      <c r="Y27" s="75"/>
      <c r="Z27" s="73"/>
      <c r="AA27" s="74"/>
      <c r="AB27" s="74"/>
      <c r="AC27" s="74"/>
      <c r="AD27" s="74"/>
      <c r="AE27" s="74"/>
      <c r="AF27" s="74"/>
      <c r="AG27" s="74"/>
      <c r="AH27" s="74"/>
      <c r="AI27" s="74"/>
      <c r="AJ27" s="74"/>
      <c r="AK27" s="74"/>
      <c r="AL27" s="74"/>
      <c r="AM27" s="74"/>
      <c r="AN27" s="74"/>
      <c r="AO27" s="74"/>
      <c r="AP27" s="74"/>
      <c r="AQ27" s="74"/>
      <c r="AR27" s="74"/>
      <c r="AS27" s="75"/>
      <c r="AT27" s="73"/>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5"/>
    </row>
    <row r="28" spans="1:73" ht="15.75" customHeight="1" x14ac:dyDescent="0.15">
      <c r="A28" s="7"/>
      <c r="B28" s="76">
        <v>13</v>
      </c>
      <c r="C28" s="148" t="str">
        <f>IF('INPUT DATA'!L23="","",'INPUT DATA'!L23)</f>
        <v/>
      </c>
      <c r="D28" s="139"/>
      <c r="E28" s="146"/>
      <c r="F28" s="149" t="str">
        <f>IF('INPUT DATA'!M23="","",'INPUT DATA'!M23)</f>
        <v/>
      </c>
      <c r="G28" s="150"/>
      <c r="H28" s="63" t="str">
        <f>IF('INPUT DATA'!N23="","",'INPUT DATA'!N23)</f>
        <v/>
      </c>
      <c r="I28" s="64" t="str">
        <f t="shared" si="0"/>
        <v/>
      </c>
      <c r="J28" s="65" t="str">
        <f t="shared" si="1"/>
        <v/>
      </c>
      <c r="K28" s="65" t="str">
        <f t="shared" si="2"/>
        <v/>
      </c>
      <c r="L28" s="66" t="str">
        <f t="shared" si="3"/>
        <v/>
      </c>
      <c r="M28" s="77" t="s">
        <v>47</v>
      </c>
      <c r="N28" s="73"/>
      <c r="O28" s="74"/>
      <c r="P28" s="74"/>
      <c r="Q28" s="74"/>
      <c r="R28" s="74"/>
      <c r="S28" s="74"/>
      <c r="T28" s="74"/>
      <c r="U28" s="74"/>
      <c r="V28" s="74"/>
      <c r="W28" s="74"/>
      <c r="X28" s="74"/>
      <c r="Y28" s="75"/>
      <c r="Z28" s="73"/>
      <c r="AA28" s="74"/>
      <c r="AB28" s="74"/>
      <c r="AC28" s="74"/>
      <c r="AD28" s="74"/>
      <c r="AE28" s="74"/>
      <c r="AF28" s="74"/>
      <c r="AG28" s="74"/>
      <c r="AH28" s="74"/>
      <c r="AI28" s="74"/>
      <c r="AJ28" s="74"/>
      <c r="AK28" s="74"/>
      <c r="AL28" s="74"/>
      <c r="AM28" s="74"/>
      <c r="AN28" s="74"/>
      <c r="AO28" s="74"/>
      <c r="AP28" s="74"/>
      <c r="AQ28" s="74"/>
      <c r="AR28" s="74"/>
      <c r="AS28" s="75"/>
      <c r="AT28" s="73"/>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5"/>
    </row>
    <row r="29" spans="1:73" ht="15.75" customHeight="1" x14ac:dyDescent="0.15">
      <c r="A29" s="7"/>
      <c r="B29" s="76">
        <v>14</v>
      </c>
      <c r="C29" s="148" t="str">
        <f>IF('INPUT DATA'!L24="","",'INPUT DATA'!L24)</f>
        <v/>
      </c>
      <c r="D29" s="139"/>
      <c r="E29" s="146"/>
      <c r="F29" s="149" t="str">
        <f>IF('INPUT DATA'!M24="","",'INPUT DATA'!M24)</f>
        <v/>
      </c>
      <c r="G29" s="150"/>
      <c r="H29" s="63" t="str">
        <f>IF('INPUT DATA'!N24="","",'INPUT DATA'!N24)</f>
        <v/>
      </c>
      <c r="I29" s="64" t="str">
        <f t="shared" si="0"/>
        <v/>
      </c>
      <c r="J29" s="65" t="str">
        <f t="shared" si="1"/>
        <v/>
      </c>
      <c r="K29" s="65" t="str">
        <f t="shared" si="2"/>
        <v/>
      </c>
      <c r="L29" s="66" t="str">
        <f t="shared" si="3"/>
        <v/>
      </c>
      <c r="M29" s="77" t="s">
        <v>47</v>
      </c>
      <c r="N29" s="73"/>
      <c r="O29" s="74"/>
      <c r="P29" s="74"/>
      <c r="Q29" s="74"/>
      <c r="R29" s="74"/>
      <c r="S29" s="74"/>
      <c r="T29" s="74"/>
      <c r="U29" s="74"/>
      <c r="V29" s="74"/>
      <c r="W29" s="74"/>
      <c r="X29" s="74"/>
      <c r="Y29" s="75"/>
      <c r="Z29" s="73"/>
      <c r="AA29" s="74"/>
      <c r="AB29" s="74"/>
      <c r="AC29" s="74"/>
      <c r="AD29" s="74"/>
      <c r="AE29" s="74"/>
      <c r="AF29" s="74"/>
      <c r="AG29" s="74"/>
      <c r="AH29" s="74"/>
      <c r="AI29" s="74"/>
      <c r="AJ29" s="74"/>
      <c r="AK29" s="74"/>
      <c r="AL29" s="74"/>
      <c r="AM29" s="74"/>
      <c r="AN29" s="74"/>
      <c r="AO29" s="74"/>
      <c r="AP29" s="74"/>
      <c r="AQ29" s="74"/>
      <c r="AR29" s="74"/>
      <c r="AS29" s="75"/>
      <c r="AT29" s="73"/>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5"/>
    </row>
    <row r="30" spans="1:73" ht="15.75" customHeight="1" x14ac:dyDescent="0.15">
      <c r="A30" s="7"/>
      <c r="B30" s="76">
        <v>15</v>
      </c>
      <c r="C30" s="148" t="str">
        <f>IF('INPUT DATA'!L25="","",'INPUT DATA'!L25)</f>
        <v/>
      </c>
      <c r="D30" s="139"/>
      <c r="E30" s="146"/>
      <c r="F30" s="149" t="str">
        <f>IF('INPUT DATA'!M25="","",'INPUT DATA'!M25)</f>
        <v/>
      </c>
      <c r="G30" s="150"/>
      <c r="H30" s="63" t="str">
        <f>IF('INPUT DATA'!N25="","",'INPUT DATA'!N25)</f>
        <v/>
      </c>
      <c r="I30" s="64" t="str">
        <f t="shared" si="0"/>
        <v/>
      </c>
      <c r="J30" s="65" t="str">
        <f t="shared" si="1"/>
        <v/>
      </c>
      <c r="K30" s="65" t="str">
        <f t="shared" si="2"/>
        <v/>
      </c>
      <c r="L30" s="66" t="str">
        <f t="shared" si="3"/>
        <v/>
      </c>
      <c r="M30" s="77" t="s">
        <v>47</v>
      </c>
      <c r="N30" s="73"/>
      <c r="O30" s="74"/>
      <c r="P30" s="74"/>
      <c r="Q30" s="74"/>
      <c r="R30" s="74"/>
      <c r="S30" s="74"/>
      <c r="T30" s="74"/>
      <c r="U30" s="74"/>
      <c r="V30" s="74"/>
      <c r="W30" s="74"/>
      <c r="X30" s="74"/>
      <c r="Y30" s="75"/>
      <c r="Z30" s="73"/>
      <c r="AA30" s="74"/>
      <c r="AB30" s="74"/>
      <c r="AC30" s="74"/>
      <c r="AD30" s="74"/>
      <c r="AE30" s="74"/>
      <c r="AF30" s="74"/>
      <c r="AG30" s="74"/>
      <c r="AH30" s="74"/>
      <c r="AI30" s="74"/>
      <c r="AJ30" s="74"/>
      <c r="AK30" s="74"/>
      <c r="AL30" s="74"/>
      <c r="AM30" s="74"/>
      <c r="AN30" s="74"/>
      <c r="AO30" s="74"/>
      <c r="AP30" s="74"/>
      <c r="AQ30" s="74"/>
      <c r="AR30" s="74"/>
      <c r="AS30" s="75"/>
      <c r="AT30" s="73"/>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5"/>
    </row>
    <row r="31" spans="1:73" ht="15.75" customHeight="1" x14ac:dyDescent="0.15">
      <c r="A31" s="7"/>
      <c r="B31" s="76">
        <v>16</v>
      </c>
      <c r="C31" s="148" t="str">
        <f>IF('INPUT DATA'!L26="","",'INPUT DATA'!L26)</f>
        <v/>
      </c>
      <c r="D31" s="139"/>
      <c r="E31" s="146"/>
      <c r="F31" s="149" t="str">
        <f>IF('INPUT DATA'!M26="","",'INPUT DATA'!M26)</f>
        <v/>
      </c>
      <c r="G31" s="150"/>
      <c r="H31" s="63" t="str">
        <f>IF('INPUT DATA'!N26="","",'INPUT DATA'!N26)</f>
        <v/>
      </c>
      <c r="I31" s="64" t="str">
        <f t="shared" si="0"/>
        <v/>
      </c>
      <c r="J31" s="65" t="str">
        <f t="shared" si="1"/>
        <v/>
      </c>
      <c r="K31" s="65" t="str">
        <f t="shared" si="2"/>
        <v/>
      </c>
      <c r="L31" s="66" t="str">
        <f t="shared" si="3"/>
        <v/>
      </c>
      <c r="M31" s="77" t="s">
        <v>47</v>
      </c>
      <c r="N31" s="73"/>
      <c r="O31" s="74"/>
      <c r="P31" s="74"/>
      <c r="Q31" s="74"/>
      <c r="R31" s="74"/>
      <c r="S31" s="74"/>
      <c r="T31" s="74"/>
      <c r="U31" s="74"/>
      <c r="V31" s="74"/>
      <c r="W31" s="74"/>
      <c r="X31" s="74"/>
      <c r="Y31" s="75"/>
      <c r="Z31" s="73"/>
      <c r="AA31" s="74"/>
      <c r="AB31" s="74"/>
      <c r="AC31" s="74"/>
      <c r="AD31" s="74"/>
      <c r="AE31" s="74"/>
      <c r="AF31" s="74"/>
      <c r="AG31" s="74"/>
      <c r="AH31" s="74"/>
      <c r="AI31" s="74"/>
      <c r="AJ31" s="74"/>
      <c r="AK31" s="74"/>
      <c r="AL31" s="74"/>
      <c r="AM31" s="74"/>
      <c r="AN31" s="74"/>
      <c r="AO31" s="74"/>
      <c r="AP31" s="74"/>
      <c r="AQ31" s="74"/>
      <c r="AR31" s="74"/>
      <c r="AS31" s="75"/>
      <c r="AT31" s="73"/>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5"/>
    </row>
    <row r="32" spans="1:73" ht="15.75" customHeight="1" x14ac:dyDescent="0.15">
      <c r="A32" s="7"/>
      <c r="B32" s="76">
        <v>17</v>
      </c>
      <c r="C32" s="148" t="str">
        <f>IF('INPUT DATA'!L27="","",'INPUT DATA'!L27)</f>
        <v/>
      </c>
      <c r="D32" s="139"/>
      <c r="E32" s="146"/>
      <c r="F32" s="149" t="str">
        <f>IF('INPUT DATA'!M27="","",'INPUT DATA'!M27)</f>
        <v/>
      </c>
      <c r="G32" s="150"/>
      <c r="H32" s="63" t="str">
        <f>IF('INPUT DATA'!N27="","",'INPUT DATA'!N27)</f>
        <v/>
      </c>
      <c r="I32" s="64" t="str">
        <f t="shared" si="0"/>
        <v/>
      </c>
      <c r="J32" s="65" t="str">
        <f t="shared" si="1"/>
        <v/>
      </c>
      <c r="K32" s="65" t="str">
        <f t="shared" si="2"/>
        <v/>
      </c>
      <c r="L32" s="66" t="str">
        <f t="shared" si="3"/>
        <v/>
      </c>
      <c r="M32" s="77" t="s">
        <v>47</v>
      </c>
      <c r="N32" s="73"/>
      <c r="O32" s="74"/>
      <c r="P32" s="74"/>
      <c r="Q32" s="74"/>
      <c r="R32" s="74"/>
      <c r="S32" s="74"/>
      <c r="T32" s="74"/>
      <c r="U32" s="74"/>
      <c r="V32" s="74"/>
      <c r="W32" s="74"/>
      <c r="X32" s="74"/>
      <c r="Y32" s="75"/>
      <c r="Z32" s="73"/>
      <c r="AA32" s="74"/>
      <c r="AB32" s="74"/>
      <c r="AC32" s="74"/>
      <c r="AD32" s="74"/>
      <c r="AE32" s="74"/>
      <c r="AF32" s="74"/>
      <c r="AG32" s="74"/>
      <c r="AH32" s="74"/>
      <c r="AI32" s="74"/>
      <c r="AJ32" s="74"/>
      <c r="AK32" s="74"/>
      <c r="AL32" s="74"/>
      <c r="AM32" s="74"/>
      <c r="AN32" s="74"/>
      <c r="AO32" s="74"/>
      <c r="AP32" s="74"/>
      <c r="AQ32" s="74"/>
      <c r="AR32" s="74"/>
      <c r="AS32" s="75"/>
      <c r="AT32" s="73"/>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5"/>
    </row>
    <row r="33" spans="1:73" ht="15.75" customHeight="1" x14ac:dyDescent="0.15">
      <c r="A33" s="7"/>
      <c r="B33" s="76">
        <v>18</v>
      </c>
      <c r="C33" s="148" t="str">
        <f>IF('INPUT DATA'!L28="","",'INPUT DATA'!L28)</f>
        <v/>
      </c>
      <c r="D33" s="139"/>
      <c r="E33" s="146"/>
      <c r="F33" s="149" t="str">
        <f>IF('INPUT DATA'!M28="","",'INPUT DATA'!M28)</f>
        <v/>
      </c>
      <c r="G33" s="150"/>
      <c r="H33" s="63" t="str">
        <f>IF('INPUT DATA'!N28="","",'INPUT DATA'!N28)</f>
        <v/>
      </c>
      <c r="I33" s="64" t="str">
        <f t="shared" si="0"/>
        <v/>
      </c>
      <c r="J33" s="65" t="str">
        <f t="shared" si="1"/>
        <v/>
      </c>
      <c r="K33" s="65" t="str">
        <f t="shared" si="2"/>
        <v/>
      </c>
      <c r="L33" s="66" t="str">
        <f t="shared" si="3"/>
        <v/>
      </c>
      <c r="M33" s="77" t="s">
        <v>47</v>
      </c>
      <c r="N33" s="73"/>
      <c r="O33" s="74"/>
      <c r="P33" s="74"/>
      <c r="Q33" s="74"/>
      <c r="R33" s="74"/>
      <c r="S33" s="74"/>
      <c r="T33" s="74"/>
      <c r="U33" s="74"/>
      <c r="V33" s="74"/>
      <c r="W33" s="74"/>
      <c r="X33" s="74"/>
      <c r="Y33" s="75"/>
      <c r="Z33" s="73"/>
      <c r="AA33" s="74"/>
      <c r="AB33" s="74"/>
      <c r="AC33" s="74"/>
      <c r="AD33" s="74"/>
      <c r="AE33" s="74"/>
      <c r="AF33" s="74"/>
      <c r="AG33" s="74"/>
      <c r="AH33" s="74"/>
      <c r="AI33" s="74"/>
      <c r="AJ33" s="74"/>
      <c r="AK33" s="74"/>
      <c r="AL33" s="74"/>
      <c r="AM33" s="74"/>
      <c r="AN33" s="74"/>
      <c r="AO33" s="74"/>
      <c r="AP33" s="74"/>
      <c r="AQ33" s="74"/>
      <c r="AR33" s="74"/>
      <c r="AS33" s="75"/>
      <c r="AT33" s="73"/>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5"/>
    </row>
    <row r="34" spans="1:73" ht="15.75" customHeight="1" x14ac:dyDescent="0.15">
      <c r="A34" s="7"/>
      <c r="B34" s="76">
        <v>19</v>
      </c>
      <c r="C34" s="148" t="str">
        <f>IF('INPUT DATA'!L29="","",'INPUT DATA'!L29)</f>
        <v/>
      </c>
      <c r="D34" s="139"/>
      <c r="E34" s="146"/>
      <c r="F34" s="149" t="str">
        <f>IF('INPUT DATA'!M29="","",'INPUT DATA'!M29)</f>
        <v/>
      </c>
      <c r="G34" s="150"/>
      <c r="H34" s="63" t="str">
        <f>IF('INPUT DATA'!N29="","",'INPUT DATA'!N29)</f>
        <v/>
      </c>
      <c r="I34" s="64" t="str">
        <f t="shared" si="0"/>
        <v/>
      </c>
      <c r="J34" s="65" t="str">
        <f t="shared" si="1"/>
        <v/>
      </c>
      <c r="K34" s="65" t="str">
        <f t="shared" si="2"/>
        <v/>
      </c>
      <c r="L34" s="66" t="str">
        <f t="shared" si="3"/>
        <v/>
      </c>
      <c r="M34" s="77" t="s">
        <v>47</v>
      </c>
      <c r="N34" s="73"/>
      <c r="O34" s="74"/>
      <c r="P34" s="74"/>
      <c r="Q34" s="74"/>
      <c r="R34" s="74"/>
      <c r="S34" s="74"/>
      <c r="T34" s="74"/>
      <c r="U34" s="74"/>
      <c r="V34" s="74"/>
      <c r="W34" s="74"/>
      <c r="X34" s="74"/>
      <c r="Y34" s="75"/>
      <c r="Z34" s="73"/>
      <c r="AA34" s="74"/>
      <c r="AB34" s="74"/>
      <c r="AC34" s="74"/>
      <c r="AD34" s="74"/>
      <c r="AE34" s="74"/>
      <c r="AF34" s="74"/>
      <c r="AG34" s="74"/>
      <c r="AH34" s="74"/>
      <c r="AI34" s="74"/>
      <c r="AJ34" s="74"/>
      <c r="AK34" s="74"/>
      <c r="AL34" s="74"/>
      <c r="AM34" s="74"/>
      <c r="AN34" s="74"/>
      <c r="AO34" s="74"/>
      <c r="AP34" s="74"/>
      <c r="AQ34" s="74"/>
      <c r="AR34" s="74"/>
      <c r="AS34" s="75"/>
      <c r="AT34" s="73"/>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5"/>
    </row>
    <row r="35" spans="1:73" ht="15.75" customHeight="1" x14ac:dyDescent="0.15">
      <c r="A35" s="7"/>
      <c r="B35" s="76">
        <v>20</v>
      </c>
      <c r="C35" s="148" t="str">
        <f>IF('INPUT DATA'!L30="","",'INPUT DATA'!L30)</f>
        <v/>
      </c>
      <c r="D35" s="139"/>
      <c r="E35" s="146"/>
      <c r="F35" s="149" t="str">
        <f>IF('INPUT DATA'!M30="","",'INPUT DATA'!M30)</f>
        <v/>
      </c>
      <c r="G35" s="150"/>
      <c r="H35" s="63" t="str">
        <f>IF('INPUT DATA'!N30="","",'INPUT DATA'!N30)</f>
        <v/>
      </c>
      <c r="I35" s="64" t="str">
        <f t="shared" si="0"/>
        <v/>
      </c>
      <c r="J35" s="65" t="str">
        <f t="shared" si="1"/>
        <v/>
      </c>
      <c r="K35" s="65" t="str">
        <f t="shared" si="2"/>
        <v/>
      </c>
      <c r="L35" s="66" t="str">
        <f t="shared" si="3"/>
        <v/>
      </c>
      <c r="M35" s="77" t="s">
        <v>47</v>
      </c>
      <c r="N35" s="73"/>
      <c r="O35" s="74"/>
      <c r="P35" s="74"/>
      <c r="Q35" s="74"/>
      <c r="R35" s="74"/>
      <c r="S35" s="74"/>
      <c r="T35" s="74"/>
      <c r="U35" s="74"/>
      <c r="V35" s="74"/>
      <c r="W35" s="74"/>
      <c r="X35" s="74"/>
      <c r="Y35" s="75"/>
      <c r="Z35" s="73"/>
      <c r="AA35" s="74"/>
      <c r="AB35" s="74"/>
      <c r="AC35" s="74"/>
      <c r="AD35" s="74"/>
      <c r="AE35" s="74"/>
      <c r="AF35" s="74"/>
      <c r="AG35" s="74"/>
      <c r="AH35" s="74"/>
      <c r="AI35" s="74"/>
      <c r="AJ35" s="74"/>
      <c r="AK35" s="74"/>
      <c r="AL35" s="74"/>
      <c r="AM35" s="74"/>
      <c r="AN35" s="74"/>
      <c r="AO35" s="74"/>
      <c r="AP35" s="74"/>
      <c r="AQ35" s="74"/>
      <c r="AR35" s="74"/>
      <c r="AS35" s="75"/>
      <c r="AT35" s="73"/>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5"/>
    </row>
    <row r="36" spans="1:73" ht="15.75" customHeight="1" x14ac:dyDescent="0.15">
      <c r="A36" s="7"/>
      <c r="B36" s="76">
        <v>21</v>
      </c>
      <c r="C36" s="148" t="str">
        <f>IF('INPUT DATA'!L31="","",'INPUT DATA'!L31)</f>
        <v/>
      </c>
      <c r="D36" s="139"/>
      <c r="E36" s="146"/>
      <c r="F36" s="149" t="str">
        <f>IF('INPUT DATA'!M31="","",'INPUT DATA'!M31)</f>
        <v/>
      </c>
      <c r="G36" s="150"/>
      <c r="H36" s="63" t="str">
        <f>IF('INPUT DATA'!N31="","",'INPUT DATA'!N31)</f>
        <v/>
      </c>
      <c r="I36" s="64" t="str">
        <f t="shared" si="0"/>
        <v/>
      </c>
      <c r="J36" s="65" t="str">
        <f t="shared" si="1"/>
        <v/>
      </c>
      <c r="K36" s="65" t="str">
        <f t="shared" si="2"/>
        <v/>
      </c>
      <c r="L36" s="66" t="str">
        <f t="shared" si="3"/>
        <v/>
      </c>
      <c r="M36" s="77" t="s">
        <v>47</v>
      </c>
      <c r="N36" s="73"/>
      <c r="O36" s="74"/>
      <c r="P36" s="74"/>
      <c r="Q36" s="74"/>
      <c r="R36" s="74"/>
      <c r="S36" s="74"/>
      <c r="T36" s="74"/>
      <c r="U36" s="74"/>
      <c r="V36" s="74"/>
      <c r="W36" s="74"/>
      <c r="X36" s="74"/>
      <c r="Y36" s="75"/>
      <c r="Z36" s="73"/>
      <c r="AA36" s="74"/>
      <c r="AB36" s="74"/>
      <c r="AC36" s="74"/>
      <c r="AD36" s="74"/>
      <c r="AE36" s="74"/>
      <c r="AF36" s="74"/>
      <c r="AG36" s="74"/>
      <c r="AH36" s="74"/>
      <c r="AI36" s="74"/>
      <c r="AJ36" s="74"/>
      <c r="AK36" s="74"/>
      <c r="AL36" s="74"/>
      <c r="AM36" s="74"/>
      <c r="AN36" s="74"/>
      <c r="AO36" s="74"/>
      <c r="AP36" s="74"/>
      <c r="AQ36" s="74"/>
      <c r="AR36" s="74"/>
      <c r="AS36" s="75"/>
      <c r="AT36" s="73"/>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5"/>
    </row>
    <row r="37" spans="1:73" ht="15.75" customHeight="1" x14ac:dyDescent="0.15">
      <c r="A37" s="7"/>
      <c r="B37" s="76">
        <v>22</v>
      </c>
      <c r="C37" s="148" t="str">
        <f>IF('INPUT DATA'!L32="","",'INPUT DATA'!L32)</f>
        <v/>
      </c>
      <c r="D37" s="139"/>
      <c r="E37" s="146"/>
      <c r="F37" s="149" t="str">
        <f>IF('INPUT DATA'!M32="","",'INPUT DATA'!M32)</f>
        <v/>
      </c>
      <c r="G37" s="150"/>
      <c r="H37" s="63" t="str">
        <f>IF('INPUT DATA'!N32="","",'INPUT DATA'!N32)</f>
        <v/>
      </c>
      <c r="I37" s="64" t="str">
        <f t="shared" si="0"/>
        <v/>
      </c>
      <c r="J37" s="65" t="str">
        <f t="shared" si="1"/>
        <v/>
      </c>
      <c r="K37" s="65" t="str">
        <f t="shared" si="2"/>
        <v/>
      </c>
      <c r="L37" s="66" t="str">
        <f t="shared" si="3"/>
        <v/>
      </c>
      <c r="M37" s="77" t="s">
        <v>47</v>
      </c>
      <c r="N37" s="73"/>
      <c r="O37" s="74"/>
      <c r="P37" s="74"/>
      <c r="Q37" s="74"/>
      <c r="R37" s="74"/>
      <c r="S37" s="74"/>
      <c r="T37" s="74"/>
      <c r="U37" s="74"/>
      <c r="V37" s="74"/>
      <c r="W37" s="74"/>
      <c r="X37" s="74"/>
      <c r="Y37" s="75"/>
      <c r="Z37" s="73"/>
      <c r="AA37" s="74"/>
      <c r="AB37" s="74"/>
      <c r="AC37" s="74"/>
      <c r="AD37" s="74"/>
      <c r="AE37" s="74"/>
      <c r="AF37" s="74"/>
      <c r="AG37" s="74"/>
      <c r="AH37" s="74"/>
      <c r="AI37" s="74"/>
      <c r="AJ37" s="74"/>
      <c r="AK37" s="74"/>
      <c r="AL37" s="74"/>
      <c r="AM37" s="74"/>
      <c r="AN37" s="74"/>
      <c r="AO37" s="74"/>
      <c r="AP37" s="74"/>
      <c r="AQ37" s="74"/>
      <c r="AR37" s="74"/>
      <c r="AS37" s="75"/>
      <c r="AT37" s="73"/>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5"/>
    </row>
    <row r="38" spans="1:73" ht="15.75" customHeight="1" x14ac:dyDescent="0.15">
      <c r="A38" s="7"/>
      <c r="B38" s="76">
        <v>23</v>
      </c>
      <c r="C38" s="148" t="str">
        <f>IF('INPUT DATA'!L33="","",'INPUT DATA'!L33)</f>
        <v/>
      </c>
      <c r="D38" s="139"/>
      <c r="E38" s="146"/>
      <c r="F38" s="149" t="str">
        <f>IF('INPUT DATA'!M33="","",'INPUT DATA'!M33)</f>
        <v/>
      </c>
      <c r="G38" s="150"/>
      <c r="H38" s="63" t="str">
        <f>IF('INPUT DATA'!N33="","",'INPUT DATA'!N33)</f>
        <v/>
      </c>
      <c r="I38" s="64" t="str">
        <f t="shared" si="0"/>
        <v/>
      </c>
      <c r="J38" s="65" t="str">
        <f t="shared" si="1"/>
        <v/>
      </c>
      <c r="K38" s="65" t="str">
        <f t="shared" si="2"/>
        <v/>
      </c>
      <c r="L38" s="66" t="str">
        <f t="shared" si="3"/>
        <v/>
      </c>
      <c r="M38" s="77" t="s">
        <v>47</v>
      </c>
      <c r="N38" s="73"/>
      <c r="O38" s="74"/>
      <c r="P38" s="74"/>
      <c r="Q38" s="74"/>
      <c r="R38" s="74"/>
      <c r="S38" s="74"/>
      <c r="T38" s="74"/>
      <c r="U38" s="74"/>
      <c r="V38" s="74"/>
      <c r="W38" s="74"/>
      <c r="X38" s="74"/>
      <c r="Y38" s="75"/>
      <c r="Z38" s="73"/>
      <c r="AA38" s="74"/>
      <c r="AB38" s="74"/>
      <c r="AC38" s="74"/>
      <c r="AD38" s="74"/>
      <c r="AE38" s="74"/>
      <c r="AF38" s="74"/>
      <c r="AG38" s="74"/>
      <c r="AH38" s="74"/>
      <c r="AI38" s="74"/>
      <c r="AJ38" s="74"/>
      <c r="AK38" s="74"/>
      <c r="AL38" s="74"/>
      <c r="AM38" s="74"/>
      <c r="AN38" s="74"/>
      <c r="AO38" s="74"/>
      <c r="AP38" s="74"/>
      <c r="AQ38" s="74"/>
      <c r="AR38" s="74"/>
      <c r="AS38" s="75"/>
      <c r="AT38" s="73"/>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5"/>
    </row>
    <row r="39" spans="1:73" ht="15.75" customHeight="1" x14ac:dyDescent="0.15">
      <c r="A39" s="7"/>
      <c r="B39" s="76">
        <v>24</v>
      </c>
      <c r="C39" s="148" t="str">
        <f>IF('INPUT DATA'!L34="","",'INPUT DATA'!L34)</f>
        <v/>
      </c>
      <c r="D39" s="139"/>
      <c r="E39" s="146"/>
      <c r="F39" s="149" t="str">
        <f>IF('INPUT DATA'!M34="","",'INPUT DATA'!M34)</f>
        <v/>
      </c>
      <c r="G39" s="150"/>
      <c r="H39" s="63" t="str">
        <f>IF('INPUT DATA'!N34="","",'INPUT DATA'!N34)</f>
        <v/>
      </c>
      <c r="I39" s="64" t="str">
        <f t="shared" si="0"/>
        <v/>
      </c>
      <c r="J39" s="65" t="str">
        <f t="shared" si="1"/>
        <v/>
      </c>
      <c r="K39" s="65" t="str">
        <f t="shared" si="2"/>
        <v/>
      </c>
      <c r="L39" s="66" t="str">
        <f t="shared" si="3"/>
        <v/>
      </c>
      <c r="M39" s="77" t="s">
        <v>47</v>
      </c>
      <c r="N39" s="73"/>
      <c r="O39" s="74"/>
      <c r="P39" s="74"/>
      <c r="Q39" s="74"/>
      <c r="R39" s="74"/>
      <c r="S39" s="74"/>
      <c r="T39" s="74"/>
      <c r="U39" s="74"/>
      <c r="V39" s="74"/>
      <c r="W39" s="74"/>
      <c r="X39" s="74"/>
      <c r="Y39" s="75"/>
      <c r="Z39" s="73"/>
      <c r="AA39" s="74"/>
      <c r="AB39" s="74"/>
      <c r="AC39" s="74"/>
      <c r="AD39" s="74"/>
      <c r="AE39" s="74"/>
      <c r="AF39" s="74"/>
      <c r="AG39" s="74"/>
      <c r="AH39" s="74"/>
      <c r="AI39" s="74"/>
      <c r="AJ39" s="74"/>
      <c r="AK39" s="74"/>
      <c r="AL39" s="74"/>
      <c r="AM39" s="74"/>
      <c r="AN39" s="74"/>
      <c r="AO39" s="74"/>
      <c r="AP39" s="74"/>
      <c r="AQ39" s="74"/>
      <c r="AR39" s="74"/>
      <c r="AS39" s="75"/>
      <c r="AT39" s="73"/>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5"/>
    </row>
    <row r="40" spans="1:73" ht="15.75" customHeight="1" x14ac:dyDescent="0.15">
      <c r="A40" s="7"/>
      <c r="B40" s="76">
        <v>25</v>
      </c>
      <c r="C40" s="148" t="str">
        <f>IF('INPUT DATA'!L35="","",'INPUT DATA'!L35)</f>
        <v/>
      </c>
      <c r="D40" s="139"/>
      <c r="E40" s="146"/>
      <c r="F40" s="149" t="str">
        <f>IF('INPUT DATA'!M35="","",'INPUT DATA'!M35)</f>
        <v/>
      </c>
      <c r="G40" s="150"/>
      <c r="H40" s="63" t="str">
        <f>IF('INPUT DATA'!N35="","",'INPUT DATA'!N35)</f>
        <v/>
      </c>
      <c r="I40" s="64" t="str">
        <f t="shared" si="0"/>
        <v/>
      </c>
      <c r="J40" s="65" t="str">
        <f t="shared" si="1"/>
        <v/>
      </c>
      <c r="K40" s="65" t="str">
        <f t="shared" si="2"/>
        <v/>
      </c>
      <c r="L40" s="66" t="str">
        <f t="shared" si="3"/>
        <v/>
      </c>
      <c r="M40" s="77" t="s">
        <v>47</v>
      </c>
      <c r="N40" s="73"/>
      <c r="O40" s="74"/>
      <c r="P40" s="74"/>
      <c r="Q40" s="74"/>
      <c r="R40" s="74"/>
      <c r="S40" s="74"/>
      <c r="T40" s="74"/>
      <c r="U40" s="74"/>
      <c r="V40" s="74"/>
      <c r="W40" s="74"/>
      <c r="X40" s="74"/>
      <c r="Y40" s="75"/>
      <c r="Z40" s="73"/>
      <c r="AA40" s="74"/>
      <c r="AB40" s="74"/>
      <c r="AC40" s="74"/>
      <c r="AD40" s="74"/>
      <c r="AE40" s="74"/>
      <c r="AF40" s="74"/>
      <c r="AG40" s="74"/>
      <c r="AH40" s="74"/>
      <c r="AI40" s="74"/>
      <c r="AJ40" s="74"/>
      <c r="AK40" s="74"/>
      <c r="AL40" s="74"/>
      <c r="AM40" s="74"/>
      <c r="AN40" s="74"/>
      <c r="AO40" s="74"/>
      <c r="AP40" s="74"/>
      <c r="AQ40" s="74"/>
      <c r="AR40" s="74"/>
      <c r="AS40" s="75"/>
      <c r="AT40" s="73"/>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5"/>
    </row>
    <row r="41" spans="1:73" ht="15.75" customHeight="1" x14ac:dyDescent="0.15">
      <c r="A41" s="7"/>
      <c r="B41" s="76">
        <v>26</v>
      </c>
      <c r="C41" s="148" t="str">
        <f>IF('INPUT DATA'!L36="","",'INPUT DATA'!L36)</f>
        <v/>
      </c>
      <c r="D41" s="139"/>
      <c r="E41" s="146"/>
      <c r="F41" s="149" t="str">
        <f>IF('INPUT DATA'!M36="","",'INPUT DATA'!M36)</f>
        <v/>
      </c>
      <c r="G41" s="150"/>
      <c r="H41" s="63" t="str">
        <f>IF('INPUT DATA'!N36="","",'INPUT DATA'!N36)</f>
        <v/>
      </c>
      <c r="I41" s="64" t="str">
        <f t="shared" si="0"/>
        <v/>
      </c>
      <c r="J41" s="65" t="str">
        <f t="shared" si="1"/>
        <v/>
      </c>
      <c r="K41" s="65" t="str">
        <f t="shared" si="2"/>
        <v/>
      </c>
      <c r="L41" s="66" t="str">
        <f t="shared" si="3"/>
        <v/>
      </c>
      <c r="M41" s="77" t="s">
        <v>47</v>
      </c>
      <c r="N41" s="73"/>
      <c r="O41" s="74"/>
      <c r="P41" s="74"/>
      <c r="Q41" s="74"/>
      <c r="R41" s="74"/>
      <c r="S41" s="74"/>
      <c r="T41" s="74"/>
      <c r="U41" s="74"/>
      <c r="V41" s="74"/>
      <c r="W41" s="74"/>
      <c r="X41" s="74"/>
      <c r="Y41" s="75"/>
      <c r="Z41" s="73"/>
      <c r="AA41" s="74"/>
      <c r="AB41" s="74"/>
      <c r="AC41" s="74"/>
      <c r="AD41" s="74"/>
      <c r="AE41" s="74"/>
      <c r="AF41" s="74"/>
      <c r="AG41" s="74"/>
      <c r="AH41" s="74"/>
      <c r="AI41" s="74"/>
      <c r="AJ41" s="74"/>
      <c r="AK41" s="74"/>
      <c r="AL41" s="74"/>
      <c r="AM41" s="74"/>
      <c r="AN41" s="74"/>
      <c r="AO41" s="74"/>
      <c r="AP41" s="74"/>
      <c r="AQ41" s="74"/>
      <c r="AR41" s="74"/>
      <c r="AS41" s="75"/>
      <c r="AT41" s="73"/>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5"/>
    </row>
    <row r="42" spans="1:73" ht="15.75" customHeight="1" x14ac:dyDescent="0.15">
      <c r="A42" s="7"/>
      <c r="B42" s="76">
        <v>27</v>
      </c>
      <c r="C42" s="148" t="str">
        <f>IF('INPUT DATA'!L37="","",'INPUT DATA'!L37)</f>
        <v/>
      </c>
      <c r="D42" s="139"/>
      <c r="E42" s="146"/>
      <c r="F42" s="149" t="str">
        <f>IF('INPUT DATA'!M37="","",'INPUT DATA'!M37)</f>
        <v/>
      </c>
      <c r="G42" s="150"/>
      <c r="H42" s="63" t="str">
        <f>IF('INPUT DATA'!N37="","",'INPUT DATA'!N37)</f>
        <v/>
      </c>
      <c r="I42" s="64" t="str">
        <f t="shared" si="0"/>
        <v/>
      </c>
      <c r="J42" s="65" t="str">
        <f t="shared" si="1"/>
        <v/>
      </c>
      <c r="K42" s="65" t="str">
        <f t="shared" si="2"/>
        <v/>
      </c>
      <c r="L42" s="66" t="str">
        <f t="shared" si="3"/>
        <v/>
      </c>
      <c r="M42" s="77" t="s">
        <v>47</v>
      </c>
      <c r="N42" s="73"/>
      <c r="O42" s="74"/>
      <c r="P42" s="74"/>
      <c r="Q42" s="74"/>
      <c r="R42" s="74"/>
      <c r="S42" s="74"/>
      <c r="T42" s="74"/>
      <c r="U42" s="74"/>
      <c r="V42" s="74"/>
      <c r="W42" s="74"/>
      <c r="X42" s="74"/>
      <c r="Y42" s="75"/>
      <c r="Z42" s="73"/>
      <c r="AA42" s="74"/>
      <c r="AB42" s="74"/>
      <c r="AC42" s="74"/>
      <c r="AD42" s="74"/>
      <c r="AE42" s="74"/>
      <c r="AF42" s="74"/>
      <c r="AG42" s="74"/>
      <c r="AH42" s="74"/>
      <c r="AI42" s="74"/>
      <c r="AJ42" s="74"/>
      <c r="AK42" s="74"/>
      <c r="AL42" s="74"/>
      <c r="AM42" s="74"/>
      <c r="AN42" s="74"/>
      <c r="AO42" s="74"/>
      <c r="AP42" s="74"/>
      <c r="AQ42" s="74"/>
      <c r="AR42" s="74"/>
      <c r="AS42" s="75"/>
      <c r="AT42" s="73"/>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5"/>
    </row>
    <row r="43" spans="1:73" ht="15.75" customHeight="1" x14ac:dyDescent="0.15">
      <c r="A43" s="7"/>
      <c r="B43" s="76">
        <v>28</v>
      </c>
      <c r="C43" s="148" t="str">
        <f>IF('INPUT DATA'!L38="","",'INPUT DATA'!L38)</f>
        <v/>
      </c>
      <c r="D43" s="139"/>
      <c r="E43" s="146"/>
      <c r="F43" s="149" t="str">
        <f>IF('INPUT DATA'!M38="","",'INPUT DATA'!M38)</f>
        <v/>
      </c>
      <c r="G43" s="150"/>
      <c r="H43" s="63" t="str">
        <f>IF('INPUT DATA'!N38="","",'INPUT DATA'!N38)</f>
        <v/>
      </c>
      <c r="I43" s="64" t="str">
        <f t="shared" si="0"/>
        <v/>
      </c>
      <c r="J43" s="65" t="str">
        <f t="shared" si="1"/>
        <v/>
      </c>
      <c r="K43" s="65" t="str">
        <f t="shared" si="2"/>
        <v/>
      </c>
      <c r="L43" s="66" t="str">
        <f t="shared" si="3"/>
        <v/>
      </c>
      <c r="M43" s="77" t="s">
        <v>47</v>
      </c>
      <c r="N43" s="73"/>
      <c r="O43" s="74"/>
      <c r="P43" s="74"/>
      <c r="Q43" s="74"/>
      <c r="R43" s="74"/>
      <c r="S43" s="74"/>
      <c r="T43" s="74"/>
      <c r="U43" s="74"/>
      <c r="V43" s="74"/>
      <c r="W43" s="74"/>
      <c r="X43" s="74"/>
      <c r="Y43" s="75"/>
      <c r="Z43" s="73"/>
      <c r="AA43" s="74"/>
      <c r="AB43" s="74"/>
      <c r="AC43" s="74"/>
      <c r="AD43" s="74"/>
      <c r="AE43" s="74"/>
      <c r="AF43" s="74"/>
      <c r="AG43" s="74"/>
      <c r="AH43" s="74"/>
      <c r="AI43" s="74"/>
      <c r="AJ43" s="74"/>
      <c r="AK43" s="74"/>
      <c r="AL43" s="74"/>
      <c r="AM43" s="74"/>
      <c r="AN43" s="74"/>
      <c r="AO43" s="74"/>
      <c r="AP43" s="74"/>
      <c r="AQ43" s="74"/>
      <c r="AR43" s="74"/>
      <c r="AS43" s="75"/>
      <c r="AT43" s="73"/>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5"/>
    </row>
    <row r="44" spans="1:73" ht="15.75" customHeight="1" x14ac:dyDescent="0.15">
      <c r="A44" s="7"/>
      <c r="B44" s="76">
        <v>29</v>
      </c>
      <c r="C44" s="148" t="str">
        <f>IF('INPUT DATA'!L39="","",'INPUT DATA'!L39)</f>
        <v/>
      </c>
      <c r="D44" s="139"/>
      <c r="E44" s="146"/>
      <c r="F44" s="149" t="str">
        <f>IF('INPUT DATA'!M39="","",'INPUT DATA'!M39)</f>
        <v/>
      </c>
      <c r="G44" s="150"/>
      <c r="H44" s="63" t="str">
        <f>IF('INPUT DATA'!N39="","",'INPUT DATA'!N39)</f>
        <v/>
      </c>
      <c r="I44" s="64" t="str">
        <f t="shared" si="0"/>
        <v/>
      </c>
      <c r="J44" s="65" t="str">
        <f t="shared" si="1"/>
        <v/>
      </c>
      <c r="K44" s="65" t="str">
        <f t="shared" si="2"/>
        <v/>
      </c>
      <c r="L44" s="66" t="str">
        <f t="shared" si="3"/>
        <v/>
      </c>
      <c r="M44" s="77" t="s">
        <v>47</v>
      </c>
      <c r="N44" s="73"/>
      <c r="O44" s="74"/>
      <c r="P44" s="74"/>
      <c r="Q44" s="74"/>
      <c r="R44" s="74"/>
      <c r="S44" s="74"/>
      <c r="T44" s="74"/>
      <c r="U44" s="74"/>
      <c r="V44" s="74"/>
      <c r="W44" s="74"/>
      <c r="X44" s="74"/>
      <c r="Y44" s="75"/>
      <c r="Z44" s="73"/>
      <c r="AA44" s="74"/>
      <c r="AB44" s="74"/>
      <c r="AC44" s="74"/>
      <c r="AD44" s="74"/>
      <c r="AE44" s="74"/>
      <c r="AF44" s="74"/>
      <c r="AG44" s="74"/>
      <c r="AH44" s="74"/>
      <c r="AI44" s="74"/>
      <c r="AJ44" s="74"/>
      <c r="AK44" s="74"/>
      <c r="AL44" s="74"/>
      <c r="AM44" s="74"/>
      <c r="AN44" s="74"/>
      <c r="AO44" s="74"/>
      <c r="AP44" s="74"/>
      <c r="AQ44" s="74"/>
      <c r="AR44" s="74"/>
      <c r="AS44" s="75"/>
      <c r="AT44" s="73"/>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5"/>
    </row>
    <row r="45" spans="1:73" ht="15.75" customHeight="1" x14ac:dyDescent="0.15">
      <c r="A45" s="7"/>
      <c r="B45" s="76">
        <v>31</v>
      </c>
      <c r="C45" s="148" t="str">
        <f>IF('INPUT DATA'!L40="","",'INPUT DATA'!L40)</f>
        <v/>
      </c>
      <c r="D45" s="139"/>
      <c r="E45" s="146"/>
      <c r="F45" s="149" t="str">
        <f>IF('INPUT DATA'!M40="","",'INPUT DATA'!M40)</f>
        <v/>
      </c>
      <c r="G45" s="150"/>
      <c r="H45" s="63" t="str">
        <f>IF('INPUT DATA'!N40="","",'INPUT DATA'!N40)</f>
        <v/>
      </c>
      <c r="I45" s="64" t="str">
        <f t="shared" si="0"/>
        <v/>
      </c>
      <c r="J45" s="65" t="str">
        <f t="shared" si="1"/>
        <v/>
      </c>
      <c r="K45" s="65" t="str">
        <f t="shared" si="2"/>
        <v/>
      </c>
      <c r="L45" s="66" t="str">
        <f t="shared" si="3"/>
        <v/>
      </c>
      <c r="M45" s="77" t="s">
        <v>47</v>
      </c>
      <c r="N45" s="73"/>
      <c r="O45" s="74"/>
      <c r="P45" s="74"/>
      <c r="Q45" s="74"/>
      <c r="R45" s="74"/>
      <c r="S45" s="74"/>
      <c r="T45" s="74"/>
      <c r="U45" s="74"/>
      <c r="V45" s="74"/>
      <c r="W45" s="74"/>
      <c r="X45" s="74"/>
      <c r="Y45" s="75"/>
      <c r="Z45" s="73"/>
      <c r="AA45" s="74"/>
      <c r="AB45" s="74"/>
      <c r="AC45" s="74"/>
      <c r="AD45" s="74"/>
      <c r="AE45" s="74"/>
      <c r="AF45" s="74"/>
      <c r="AG45" s="74"/>
      <c r="AH45" s="74"/>
      <c r="AI45" s="74"/>
      <c r="AJ45" s="74"/>
      <c r="AK45" s="74"/>
      <c r="AL45" s="74"/>
      <c r="AM45" s="74"/>
      <c r="AN45" s="74"/>
      <c r="AO45" s="74"/>
      <c r="AP45" s="74"/>
      <c r="AQ45" s="74"/>
      <c r="AR45" s="74"/>
      <c r="AS45" s="75"/>
      <c r="AT45" s="73"/>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5"/>
    </row>
    <row r="46" spans="1:73" ht="15.75" customHeight="1" x14ac:dyDescent="0.15">
      <c r="A46" s="7"/>
      <c r="B46" s="76">
        <v>32</v>
      </c>
      <c r="C46" s="148" t="str">
        <f>IF('INPUT DATA'!L41="","",'INPUT DATA'!L41)</f>
        <v/>
      </c>
      <c r="D46" s="139"/>
      <c r="E46" s="146"/>
      <c r="F46" s="149" t="str">
        <f>IF('INPUT DATA'!M41="","",'INPUT DATA'!M41)</f>
        <v/>
      </c>
      <c r="G46" s="150"/>
      <c r="H46" s="63" t="str">
        <f>IF('INPUT DATA'!N41="","",'INPUT DATA'!N41)</f>
        <v/>
      </c>
      <c r="I46" s="64" t="str">
        <f t="shared" si="0"/>
        <v/>
      </c>
      <c r="J46" s="65" t="str">
        <f t="shared" si="1"/>
        <v/>
      </c>
      <c r="K46" s="65" t="str">
        <f t="shared" si="2"/>
        <v/>
      </c>
      <c r="L46" s="66" t="str">
        <f t="shared" si="3"/>
        <v/>
      </c>
      <c r="M46" s="77" t="s">
        <v>47</v>
      </c>
      <c r="N46" s="73"/>
      <c r="O46" s="74"/>
      <c r="P46" s="74"/>
      <c r="Q46" s="74"/>
      <c r="R46" s="74"/>
      <c r="S46" s="74"/>
      <c r="T46" s="74"/>
      <c r="U46" s="74"/>
      <c r="V46" s="74"/>
      <c r="W46" s="74"/>
      <c r="X46" s="74"/>
      <c r="Y46" s="75"/>
      <c r="Z46" s="73"/>
      <c r="AA46" s="74"/>
      <c r="AB46" s="74"/>
      <c r="AC46" s="74"/>
      <c r="AD46" s="74"/>
      <c r="AE46" s="74"/>
      <c r="AF46" s="74"/>
      <c r="AG46" s="74"/>
      <c r="AH46" s="74"/>
      <c r="AI46" s="74"/>
      <c r="AJ46" s="74"/>
      <c r="AK46" s="74"/>
      <c r="AL46" s="74"/>
      <c r="AM46" s="74"/>
      <c r="AN46" s="74"/>
      <c r="AO46" s="74"/>
      <c r="AP46" s="74"/>
      <c r="AQ46" s="74"/>
      <c r="AR46" s="74"/>
      <c r="AS46" s="75"/>
      <c r="AT46" s="73"/>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5"/>
    </row>
    <row r="47" spans="1:73" ht="15.75" customHeight="1" x14ac:dyDescent="0.15">
      <c r="A47" s="7"/>
      <c r="B47" s="76">
        <v>33</v>
      </c>
      <c r="C47" s="148" t="str">
        <f>IF('INPUT DATA'!L42="","",'INPUT DATA'!L42)</f>
        <v/>
      </c>
      <c r="D47" s="139"/>
      <c r="E47" s="146"/>
      <c r="F47" s="149" t="str">
        <f>IF('INPUT DATA'!M42="","",'INPUT DATA'!M42)</f>
        <v/>
      </c>
      <c r="G47" s="150"/>
      <c r="H47" s="63" t="str">
        <f>IF('INPUT DATA'!N42="","",'INPUT DATA'!N42)</f>
        <v/>
      </c>
      <c r="I47" s="64" t="str">
        <f t="shared" si="0"/>
        <v/>
      </c>
      <c r="J47" s="65" t="str">
        <f t="shared" si="1"/>
        <v/>
      </c>
      <c r="K47" s="65" t="str">
        <f t="shared" si="2"/>
        <v/>
      </c>
      <c r="L47" s="66" t="str">
        <f t="shared" si="3"/>
        <v/>
      </c>
      <c r="M47" s="77" t="s">
        <v>47</v>
      </c>
      <c r="N47" s="73"/>
      <c r="O47" s="74"/>
      <c r="P47" s="74"/>
      <c r="Q47" s="74"/>
      <c r="R47" s="74"/>
      <c r="S47" s="74"/>
      <c r="T47" s="74"/>
      <c r="U47" s="74"/>
      <c r="V47" s="74"/>
      <c r="W47" s="74"/>
      <c r="X47" s="74"/>
      <c r="Y47" s="75"/>
      <c r="Z47" s="73"/>
      <c r="AA47" s="74"/>
      <c r="AB47" s="74"/>
      <c r="AC47" s="74"/>
      <c r="AD47" s="74"/>
      <c r="AE47" s="74"/>
      <c r="AF47" s="74"/>
      <c r="AG47" s="74"/>
      <c r="AH47" s="74"/>
      <c r="AI47" s="74"/>
      <c r="AJ47" s="74"/>
      <c r="AK47" s="74"/>
      <c r="AL47" s="74"/>
      <c r="AM47" s="74"/>
      <c r="AN47" s="74"/>
      <c r="AO47" s="74"/>
      <c r="AP47" s="74"/>
      <c r="AQ47" s="74"/>
      <c r="AR47" s="74"/>
      <c r="AS47" s="75"/>
      <c r="AT47" s="73"/>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5"/>
    </row>
    <row r="48" spans="1:73" ht="15.75" customHeight="1" x14ac:dyDescent="0.15">
      <c r="A48" s="7"/>
      <c r="B48" s="76">
        <v>34</v>
      </c>
      <c r="C48" s="148" t="str">
        <f>IF('INPUT DATA'!L43="","",'INPUT DATA'!L43)</f>
        <v/>
      </c>
      <c r="D48" s="139"/>
      <c r="E48" s="146"/>
      <c r="F48" s="149" t="str">
        <f>IF('INPUT DATA'!M43="","",'INPUT DATA'!M43)</f>
        <v/>
      </c>
      <c r="G48" s="150"/>
      <c r="H48" s="63" t="str">
        <f>IF('INPUT DATA'!N43="","",'INPUT DATA'!N43)</f>
        <v/>
      </c>
      <c r="I48" s="64" t="str">
        <f t="shared" si="0"/>
        <v/>
      </c>
      <c r="J48" s="65" t="str">
        <f t="shared" si="1"/>
        <v/>
      </c>
      <c r="K48" s="65" t="str">
        <f t="shared" si="2"/>
        <v/>
      </c>
      <c r="L48" s="66" t="str">
        <f t="shared" si="3"/>
        <v/>
      </c>
      <c r="M48" s="77" t="s">
        <v>47</v>
      </c>
      <c r="N48" s="73"/>
      <c r="O48" s="74"/>
      <c r="P48" s="74"/>
      <c r="Q48" s="74"/>
      <c r="R48" s="74"/>
      <c r="S48" s="74"/>
      <c r="T48" s="74"/>
      <c r="U48" s="74"/>
      <c r="V48" s="74"/>
      <c r="W48" s="74"/>
      <c r="X48" s="74"/>
      <c r="Y48" s="75"/>
      <c r="Z48" s="73"/>
      <c r="AA48" s="74"/>
      <c r="AB48" s="74"/>
      <c r="AC48" s="74"/>
      <c r="AD48" s="74"/>
      <c r="AE48" s="74"/>
      <c r="AF48" s="74"/>
      <c r="AG48" s="74"/>
      <c r="AH48" s="74"/>
      <c r="AI48" s="74"/>
      <c r="AJ48" s="74"/>
      <c r="AK48" s="74"/>
      <c r="AL48" s="74"/>
      <c r="AM48" s="74"/>
      <c r="AN48" s="74"/>
      <c r="AO48" s="74"/>
      <c r="AP48" s="74"/>
      <c r="AQ48" s="74"/>
      <c r="AR48" s="74"/>
      <c r="AS48" s="75"/>
      <c r="AT48" s="73"/>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5"/>
    </row>
    <row r="49" spans="1:73" ht="15.75" customHeight="1" x14ac:dyDescent="0.15">
      <c r="A49" s="7"/>
      <c r="B49" s="76">
        <v>35</v>
      </c>
      <c r="C49" s="148" t="str">
        <f>IF('INPUT DATA'!L44="","",'INPUT DATA'!L44)</f>
        <v/>
      </c>
      <c r="D49" s="139"/>
      <c r="E49" s="146"/>
      <c r="F49" s="149" t="str">
        <f>IF('INPUT DATA'!M44="","",'INPUT DATA'!M44)</f>
        <v/>
      </c>
      <c r="G49" s="150"/>
      <c r="H49" s="63" t="str">
        <f>IF('INPUT DATA'!N44="","",'INPUT DATA'!N44)</f>
        <v/>
      </c>
      <c r="I49" s="64" t="str">
        <f t="shared" si="0"/>
        <v/>
      </c>
      <c r="J49" s="65" t="str">
        <f t="shared" si="1"/>
        <v/>
      </c>
      <c r="K49" s="65" t="str">
        <f t="shared" si="2"/>
        <v/>
      </c>
      <c r="L49" s="66" t="str">
        <f t="shared" si="3"/>
        <v/>
      </c>
      <c r="M49" s="77" t="s">
        <v>47</v>
      </c>
      <c r="N49" s="73"/>
      <c r="O49" s="74"/>
      <c r="P49" s="74"/>
      <c r="Q49" s="74"/>
      <c r="R49" s="74"/>
      <c r="S49" s="74"/>
      <c r="T49" s="74"/>
      <c r="U49" s="74"/>
      <c r="V49" s="74"/>
      <c r="W49" s="74"/>
      <c r="X49" s="74"/>
      <c r="Y49" s="75"/>
      <c r="Z49" s="73"/>
      <c r="AA49" s="74"/>
      <c r="AB49" s="74"/>
      <c r="AC49" s="74"/>
      <c r="AD49" s="74"/>
      <c r="AE49" s="74"/>
      <c r="AF49" s="74"/>
      <c r="AG49" s="74"/>
      <c r="AH49" s="74"/>
      <c r="AI49" s="74"/>
      <c r="AJ49" s="74"/>
      <c r="AK49" s="74"/>
      <c r="AL49" s="74"/>
      <c r="AM49" s="74"/>
      <c r="AN49" s="74"/>
      <c r="AO49" s="74"/>
      <c r="AP49" s="74"/>
      <c r="AQ49" s="74"/>
      <c r="AR49" s="74"/>
      <c r="AS49" s="75"/>
      <c r="AT49" s="73"/>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5"/>
    </row>
    <row r="50" spans="1:73" ht="15.75" customHeight="1" x14ac:dyDescent="0.15">
      <c r="A50" s="7"/>
      <c r="B50" s="76">
        <v>36</v>
      </c>
      <c r="C50" s="148" t="str">
        <f>IF('INPUT DATA'!L45="","",'INPUT DATA'!L45)</f>
        <v/>
      </c>
      <c r="D50" s="139"/>
      <c r="E50" s="146"/>
      <c r="F50" s="149" t="str">
        <f>IF('INPUT DATA'!M45="","",'INPUT DATA'!M45)</f>
        <v/>
      </c>
      <c r="G50" s="150"/>
      <c r="H50" s="63" t="str">
        <f>IF('INPUT DATA'!N45="","",'INPUT DATA'!N45)</f>
        <v/>
      </c>
      <c r="I50" s="64" t="str">
        <f t="shared" si="0"/>
        <v/>
      </c>
      <c r="J50" s="65" t="str">
        <f t="shared" si="1"/>
        <v/>
      </c>
      <c r="K50" s="65" t="str">
        <f t="shared" si="2"/>
        <v/>
      </c>
      <c r="L50" s="66" t="str">
        <f t="shared" si="3"/>
        <v/>
      </c>
      <c r="M50" s="77" t="s">
        <v>47</v>
      </c>
      <c r="N50" s="73"/>
      <c r="O50" s="74"/>
      <c r="P50" s="74"/>
      <c r="Q50" s="74"/>
      <c r="R50" s="74"/>
      <c r="S50" s="74"/>
      <c r="T50" s="74"/>
      <c r="U50" s="74"/>
      <c r="V50" s="74"/>
      <c r="W50" s="74"/>
      <c r="X50" s="74"/>
      <c r="Y50" s="75"/>
      <c r="Z50" s="73"/>
      <c r="AA50" s="74"/>
      <c r="AB50" s="74"/>
      <c r="AC50" s="74"/>
      <c r="AD50" s="74"/>
      <c r="AE50" s="74"/>
      <c r="AF50" s="74"/>
      <c r="AG50" s="74"/>
      <c r="AH50" s="74"/>
      <c r="AI50" s="74"/>
      <c r="AJ50" s="74"/>
      <c r="AK50" s="74"/>
      <c r="AL50" s="74"/>
      <c r="AM50" s="74"/>
      <c r="AN50" s="74"/>
      <c r="AO50" s="74"/>
      <c r="AP50" s="74"/>
      <c r="AQ50" s="74"/>
      <c r="AR50" s="74"/>
      <c r="AS50" s="75"/>
      <c r="AT50" s="73"/>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5"/>
    </row>
    <row r="51" spans="1:73" ht="15.75" customHeight="1" x14ac:dyDescent="0.15">
      <c r="A51" s="7"/>
      <c r="B51" s="76">
        <v>37</v>
      </c>
      <c r="C51" s="148" t="str">
        <f>IF('INPUT DATA'!L46="","",'INPUT DATA'!L46)</f>
        <v/>
      </c>
      <c r="D51" s="139"/>
      <c r="E51" s="146"/>
      <c r="F51" s="149" t="str">
        <f>IF('INPUT DATA'!M46="","",'INPUT DATA'!M46)</f>
        <v/>
      </c>
      <c r="G51" s="150"/>
      <c r="H51" s="63" t="str">
        <f>IF('INPUT DATA'!N46="","",'INPUT DATA'!N46)</f>
        <v/>
      </c>
      <c r="I51" s="64" t="str">
        <f t="shared" si="0"/>
        <v/>
      </c>
      <c r="J51" s="65" t="str">
        <f t="shared" si="1"/>
        <v/>
      </c>
      <c r="K51" s="65" t="str">
        <f t="shared" si="2"/>
        <v/>
      </c>
      <c r="L51" s="66" t="str">
        <f t="shared" si="3"/>
        <v/>
      </c>
      <c r="M51" s="77" t="s">
        <v>47</v>
      </c>
      <c r="N51" s="73"/>
      <c r="O51" s="74"/>
      <c r="P51" s="74"/>
      <c r="Q51" s="74"/>
      <c r="R51" s="74"/>
      <c r="S51" s="74"/>
      <c r="T51" s="74"/>
      <c r="U51" s="74"/>
      <c r="V51" s="74"/>
      <c r="W51" s="74"/>
      <c r="X51" s="74"/>
      <c r="Y51" s="75"/>
      <c r="Z51" s="73"/>
      <c r="AA51" s="74"/>
      <c r="AB51" s="74"/>
      <c r="AC51" s="74"/>
      <c r="AD51" s="74"/>
      <c r="AE51" s="74"/>
      <c r="AF51" s="74"/>
      <c r="AG51" s="74"/>
      <c r="AH51" s="74"/>
      <c r="AI51" s="74"/>
      <c r="AJ51" s="74"/>
      <c r="AK51" s="74"/>
      <c r="AL51" s="74"/>
      <c r="AM51" s="74"/>
      <c r="AN51" s="74"/>
      <c r="AO51" s="74"/>
      <c r="AP51" s="74"/>
      <c r="AQ51" s="74"/>
      <c r="AR51" s="74"/>
      <c r="AS51" s="75"/>
      <c r="AT51" s="73"/>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5"/>
    </row>
    <row r="52" spans="1:73" ht="15.75" customHeight="1" x14ac:dyDescent="0.15">
      <c r="A52" s="7"/>
      <c r="B52" s="76">
        <v>38</v>
      </c>
      <c r="C52" s="148" t="str">
        <f>IF('INPUT DATA'!L47="","",'INPUT DATA'!L47)</f>
        <v/>
      </c>
      <c r="D52" s="139"/>
      <c r="E52" s="146"/>
      <c r="F52" s="149" t="str">
        <f>IF('INPUT DATA'!M47="","",'INPUT DATA'!M47)</f>
        <v/>
      </c>
      <c r="G52" s="150"/>
      <c r="H52" s="63" t="str">
        <f>IF('INPUT DATA'!N47="","",'INPUT DATA'!N47)</f>
        <v/>
      </c>
      <c r="I52" s="64" t="str">
        <f t="shared" si="0"/>
        <v/>
      </c>
      <c r="J52" s="65" t="str">
        <f t="shared" si="1"/>
        <v/>
      </c>
      <c r="K52" s="65" t="str">
        <f t="shared" si="2"/>
        <v/>
      </c>
      <c r="L52" s="66" t="str">
        <f t="shared" si="3"/>
        <v/>
      </c>
      <c r="M52" s="77" t="s">
        <v>47</v>
      </c>
      <c r="N52" s="73"/>
      <c r="O52" s="74"/>
      <c r="P52" s="74"/>
      <c r="Q52" s="74"/>
      <c r="R52" s="74"/>
      <c r="S52" s="74"/>
      <c r="T52" s="74"/>
      <c r="U52" s="74"/>
      <c r="V52" s="74"/>
      <c r="W52" s="74"/>
      <c r="X52" s="74"/>
      <c r="Y52" s="75"/>
      <c r="Z52" s="73"/>
      <c r="AA52" s="74"/>
      <c r="AB52" s="74"/>
      <c r="AC52" s="74"/>
      <c r="AD52" s="74"/>
      <c r="AE52" s="74"/>
      <c r="AF52" s="74"/>
      <c r="AG52" s="74"/>
      <c r="AH52" s="74"/>
      <c r="AI52" s="74"/>
      <c r="AJ52" s="74"/>
      <c r="AK52" s="74"/>
      <c r="AL52" s="74"/>
      <c r="AM52" s="74"/>
      <c r="AN52" s="74"/>
      <c r="AO52" s="74"/>
      <c r="AP52" s="74"/>
      <c r="AQ52" s="74"/>
      <c r="AR52" s="74"/>
      <c r="AS52" s="75"/>
      <c r="AT52" s="73"/>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5"/>
    </row>
    <row r="53" spans="1:73" ht="15.75" customHeight="1" x14ac:dyDescent="0.15">
      <c r="A53" s="7"/>
      <c r="B53" s="76">
        <v>39</v>
      </c>
      <c r="C53" s="148" t="str">
        <f>IF('INPUT DATA'!L48="","",'INPUT DATA'!L48)</f>
        <v/>
      </c>
      <c r="D53" s="139"/>
      <c r="E53" s="146"/>
      <c r="F53" s="149" t="str">
        <f>IF('INPUT DATA'!M48="","",'INPUT DATA'!M48)</f>
        <v/>
      </c>
      <c r="G53" s="150"/>
      <c r="H53" s="63" t="str">
        <f>IF('INPUT DATA'!N48="","",'INPUT DATA'!N48)</f>
        <v/>
      </c>
      <c r="I53" s="64" t="str">
        <f t="shared" si="0"/>
        <v/>
      </c>
      <c r="J53" s="65" t="str">
        <f t="shared" si="1"/>
        <v/>
      </c>
      <c r="K53" s="65" t="str">
        <f t="shared" si="2"/>
        <v/>
      </c>
      <c r="L53" s="66" t="str">
        <f t="shared" si="3"/>
        <v/>
      </c>
      <c r="M53" s="77" t="s">
        <v>47</v>
      </c>
      <c r="N53" s="73"/>
      <c r="O53" s="74"/>
      <c r="P53" s="74"/>
      <c r="Q53" s="74"/>
      <c r="R53" s="74"/>
      <c r="S53" s="74"/>
      <c r="T53" s="74"/>
      <c r="U53" s="74"/>
      <c r="V53" s="74"/>
      <c r="W53" s="74"/>
      <c r="X53" s="74"/>
      <c r="Y53" s="75"/>
      <c r="Z53" s="73"/>
      <c r="AA53" s="74"/>
      <c r="AB53" s="74"/>
      <c r="AC53" s="74"/>
      <c r="AD53" s="74"/>
      <c r="AE53" s="74"/>
      <c r="AF53" s="74"/>
      <c r="AG53" s="74"/>
      <c r="AH53" s="74"/>
      <c r="AI53" s="74"/>
      <c r="AJ53" s="74"/>
      <c r="AK53" s="74"/>
      <c r="AL53" s="74"/>
      <c r="AM53" s="74"/>
      <c r="AN53" s="74"/>
      <c r="AO53" s="74"/>
      <c r="AP53" s="74"/>
      <c r="AQ53" s="74"/>
      <c r="AR53" s="74"/>
      <c r="AS53" s="75"/>
      <c r="AT53" s="73"/>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5"/>
    </row>
    <row r="54" spans="1:73" ht="15.75" customHeight="1" x14ac:dyDescent="0.15">
      <c r="A54" s="7"/>
      <c r="B54" s="76">
        <v>40</v>
      </c>
      <c r="C54" s="148" t="str">
        <f>IF('INPUT DATA'!L49="","",'INPUT DATA'!L49)</f>
        <v/>
      </c>
      <c r="D54" s="139"/>
      <c r="E54" s="146"/>
      <c r="F54" s="149" t="str">
        <f>IF('INPUT DATA'!M49="","",'INPUT DATA'!M49)</f>
        <v/>
      </c>
      <c r="G54" s="150"/>
      <c r="H54" s="63" t="str">
        <f>IF('INPUT DATA'!N49="","",'INPUT DATA'!N49)</f>
        <v/>
      </c>
      <c r="I54" s="64" t="str">
        <f t="shared" si="0"/>
        <v/>
      </c>
      <c r="J54" s="65" t="str">
        <f t="shared" si="1"/>
        <v/>
      </c>
      <c r="K54" s="65" t="str">
        <f t="shared" si="2"/>
        <v/>
      </c>
      <c r="L54" s="66" t="str">
        <f t="shared" si="3"/>
        <v/>
      </c>
      <c r="M54" s="77" t="s">
        <v>47</v>
      </c>
      <c r="N54" s="73"/>
      <c r="O54" s="74"/>
      <c r="P54" s="74"/>
      <c r="Q54" s="74"/>
      <c r="R54" s="74"/>
      <c r="S54" s="74"/>
      <c r="T54" s="74"/>
      <c r="U54" s="74"/>
      <c r="V54" s="74"/>
      <c r="W54" s="74"/>
      <c r="X54" s="74"/>
      <c r="Y54" s="75"/>
      <c r="Z54" s="73"/>
      <c r="AA54" s="74"/>
      <c r="AB54" s="74"/>
      <c r="AC54" s="74"/>
      <c r="AD54" s="74"/>
      <c r="AE54" s="74"/>
      <c r="AF54" s="74"/>
      <c r="AG54" s="74"/>
      <c r="AH54" s="74"/>
      <c r="AI54" s="74"/>
      <c r="AJ54" s="74"/>
      <c r="AK54" s="74"/>
      <c r="AL54" s="74"/>
      <c r="AM54" s="74"/>
      <c r="AN54" s="74"/>
      <c r="AO54" s="74"/>
      <c r="AP54" s="74"/>
      <c r="AQ54" s="74"/>
      <c r="AR54" s="74"/>
      <c r="AS54" s="75"/>
      <c r="AT54" s="73"/>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5"/>
    </row>
    <row r="55" spans="1:73" ht="15.75" customHeight="1" x14ac:dyDescent="0.15">
      <c r="A55" s="7"/>
      <c r="B55" s="76">
        <v>41</v>
      </c>
      <c r="C55" s="148" t="str">
        <f>IF('INPUT DATA'!L50="","",'INPUT DATA'!L50)</f>
        <v/>
      </c>
      <c r="D55" s="139"/>
      <c r="E55" s="146"/>
      <c r="F55" s="149" t="str">
        <f>IF('INPUT DATA'!M50="","",'INPUT DATA'!M50)</f>
        <v/>
      </c>
      <c r="G55" s="150"/>
      <c r="H55" s="63" t="str">
        <f>IF('INPUT DATA'!N50="","",'INPUT DATA'!N50)</f>
        <v/>
      </c>
      <c r="I55" s="64" t="str">
        <f t="shared" si="0"/>
        <v/>
      </c>
      <c r="J55" s="65" t="str">
        <f t="shared" si="1"/>
        <v/>
      </c>
      <c r="K55" s="65" t="str">
        <f t="shared" si="2"/>
        <v/>
      </c>
      <c r="L55" s="66" t="str">
        <f t="shared" si="3"/>
        <v/>
      </c>
      <c r="M55" s="77" t="s">
        <v>47</v>
      </c>
      <c r="N55" s="73"/>
      <c r="O55" s="74"/>
      <c r="P55" s="74"/>
      <c r="Q55" s="74"/>
      <c r="R55" s="74"/>
      <c r="S55" s="74"/>
      <c r="T55" s="74"/>
      <c r="U55" s="74"/>
      <c r="V55" s="74"/>
      <c r="W55" s="74"/>
      <c r="X55" s="74"/>
      <c r="Y55" s="75"/>
      <c r="Z55" s="73"/>
      <c r="AA55" s="74"/>
      <c r="AB55" s="74"/>
      <c r="AC55" s="74"/>
      <c r="AD55" s="74"/>
      <c r="AE55" s="74"/>
      <c r="AF55" s="74"/>
      <c r="AG55" s="74"/>
      <c r="AH55" s="74"/>
      <c r="AI55" s="74"/>
      <c r="AJ55" s="74"/>
      <c r="AK55" s="74"/>
      <c r="AL55" s="74"/>
      <c r="AM55" s="74"/>
      <c r="AN55" s="74"/>
      <c r="AO55" s="74"/>
      <c r="AP55" s="74"/>
      <c r="AQ55" s="74"/>
      <c r="AR55" s="74"/>
      <c r="AS55" s="75"/>
      <c r="AT55" s="73"/>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5"/>
    </row>
    <row r="56" spans="1:73" ht="15.75" customHeight="1" x14ac:dyDescent="0.15">
      <c r="A56" s="7"/>
      <c r="B56" s="76">
        <v>42</v>
      </c>
      <c r="C56" s="148" t="str">
        <f>IF('INPUT DATA'!L51="","",'INPUT DATA'!L51)</f>
        <v/>
      </c>
      <c r="D56" s="139"/>
      <c r="E56" s="146"/>
      <c r="F56" s="149" t="str">
        <f>IF('INPUT DATA'!M51="","",'INPUT DATA'!M51)</f>
        <v/>
      </c>
      <c r="G56" s="150"/>
      <c r="H56" s="63" t="str">
        <f>IF('INPUT DATA'!N51="","",'INPUT DATA'!N51)</f>
        <v/>
      </c>
      <c r="I56" s="64" t="str">
        <f t="shared" si="0"/>
        <v/>
      </c>
      <c r="J56" s="65" t="str">
        <f t="shared" si="1"/>
        <v/>
      </c>
      <c r="K56" s="65" t="str">
        <f t="shared" si="2"/>
        <v/>
      </c>
      <c r="L56" s="66" t="str">
        <f t="shared" si="3"/>
        <v/>
      </c>
      <c r="M56" s="77" t="s">
        <v>47</v>
      </c>
      <c r="N56" s="73"/>
      <c r="O56" s="74"/>
      <c r="P56" s="74"/>
      <c r="Q56" s="74"/>
      <c r="R56" s="74"/>
      <c r="S56" s="74"/>
      <c r="T56" s="74"/>
      <c r="U56" s="74"/>
      <c r="V56" s="74"/>
      <c r="W56" s="74"/>
      <c r="X56" s="74"/>
      <c r="Y56" s="75"/>
      <c r="Z56" s="73"/>
      <c r="AA56" s="74"/>
      <c r="AB56" s="74"/>
      <c r="AC56" s="74"/>
      <c r="AD56" s="74"/>
      <c r="AE56" s="74"/>
      <c r="AF56" s="74"/>
      <c r="AG56" s="74"/>
      <c r="AH56" s="74"/>
      <c r="AI56" s="74"/>
      <c r="AJ56" s="74"/>
      <c r="AK56" s="74"/>
      <c r="AL56" s="74"/>
      <c r="AM56" s="74"/>
      <c r="AN56" s="74"/>
      <c r="AO56" s="74"/>
      <c r="AP56" s="74"/>
      <c r="AQ56" s="74"/>
      <c r="AR56" s="74"/>
      <c r="AS56" s="75"/>
      <c r="AT56" s="73"/>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5"/>
    </row>
    <row r="57" spans="1:73" ht="15.75" customHeight="1" x14ac:dyDescent="0.15">
      <c r="A57" s="7"/>
      <c r="B57" s="76">
        <v>43</v>
      </c>
      <c r="C57" s="148" t="str">
        <f>IF('INPUT DATA'!L52="","",'INPUT DATA'!L52)</f>
        <v/>
      </c>
      <c r="D57" s="139"/>
      <c r="E57" s="146"/>
      <c r="F57" s="149" t="str">
        <f>IF('INPUT DATA'!M52="","",'INPUT DATA'!M52)</f>
        <v/>
      </c>
      <c r="G57" s="150"/>
      <c r="H57" s="63" t="str">
        <f>IF('INPUT DATA'!N52="","",'INPUT DATA'!N52)</f>
        <v/>
      </c>
      <c r="I57" s="64" t="str">
        <f t="shared" si="0"/>
        <v/>
      </c>
      <c r="J57" s="65" t="str">
        <f t="shared" si="1"/>
        <v/>
      </c>
      <c r="K57" s="65" t="str">
        <f t="shared" si="2"/>
        <v/>
      </c>
      <c r="L57" s="66" t="str">
        <f t="shared" si="3"/>
        <v/>
      </c>
      <c r="M57" s="77" t="s">
        <v>47</v>
      </c>
      <c r="N57" s="73"/>
      <c r="O57" s="74"/>
      <c r="P57" s="74"/>
      <c r="Q57" s="74"/>
      <c r="R57" s="74"/>
      <c r="S57" s="74"/>
      <c r="T57" s="74"/>
      <c r="U57" s="74"/>
      <c r="V57" s="74"/>
      <c r="W57" s="74"/>
      <c r="X57" s="74"/>
      <c r="Y57" s="75"/>
      <c r="Z57" s="73"/>
      <c r="AA57" s="74"/>
      <c r="AB57" s="74"/>
      <c r="AC57" s="74"/>
      <c r="AD57" s="74"/>
      <c r="AE57" s="74"/>
      <c r="AF57" s="74"/>
      <c r="AG57" s="74"/>
      <c r="AH57" s="74"/>
      <c r="AI57" s="74"/>
      <c r="AJ57" s="74"/>
      <c r="AK57" s="74"/>
      <c r="AL57" s="74"/>
      <c r="AM57" s="74"/>
      <c r="AN57" s="74"/>
      <c r="AO57" s="74"/>
      <c r="AP57" s="74"/>
      <c r="AQ57" s="74"/>
      <c r="AR57" s="74"/>
      <c r="AS57" s="75"/>
      <c r="AT57" s="73"/>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5"/>
    </row>
    <row r="58" spans="1:73" ht="15.75" customHeight="1" x14ac:dyDescent="0.15">
      <c r="A58" s="7"/>
      <c r="B58" s="76">
        <v>44</v>
      </c>
      <c r="C58" s="148" t="str">
        <f>IF('INPUT DATA'!L53="","",'INPUT DATA'!L53)</f>
        <v/>
      </c>
      <c r="D58" s="139"/>
      <c r="E58" s="146"/>
      <c r="F58" s="149" t="str">
        <f>IF('INPUT DATA'!M53="","",'INPUT DATA'!M53)</f>
        <v/>
      </c>
      <c r="G58" s="150"/>
      <c r="H58" s="63" t="str">
        <f>IF('INPUT DATA'!N53="","",'INPUT DATA'!N53)</f>
        <v/>
      </c>
      <c r="I58" s="64" t="str">
        <f t="shared" si="0"/>
        <v/>
      </c>
      <c r="J58" s="65" t="str">
        <f t="shared" si="1"/>
        <v/>
      </c>
      <c r="K58" s="65" t="str">
        <f t="shared" si="2"/>
        <v/>
      </c>
      <c r="L58" s="66" t="str">
        <f t="shared" si="3"/>
        <v/>
      </c>
      <c r="M58" s="77" t="s">
        <v>47</v>
      </c>
      <c r="N58" s="73"/>
      <c r="O58" s="74"/>
      <c r="P58" s="74"/>
      <c r="Q58" s="74"/>
      <c r="R58" s="74"/>
      <c r="S58" s="74"/>
      <c r="T58" s="74"/>
      <c r="U58" s="74"/>
      <c r="V58" s="74"/>
      <c r="W58" s="74"/>
      <c r="X58" s="74"/>
      <c r="Y58" s="75"/>
      <c r="Z58" s="73"/>
      <c r="AA58" s="74"/>
      <c r="AB58" s="74"/>
      <c r="AC58" s="74"/>
      <c r="AD58" s="74"/>
      <c r="AE58" s="74"/>
      <c r="AF58" s="74"/>
      <c r="AG58" s="74"/>
      <c r="AH58" s="74"/>
      <c r="AI58" s="74"/>
      <c r="AJ58" s="74"/>
      <c r="AK58" s="74"/>
      <c r="AL58" s="74"/>
      <c r="AM58" s="74"/>
      <c r="AN58" s="74"/>
      <c r="AO58" s="74"/>
      <c r="AP58" s="74"/>
      <c r="AQ58" s="74"/>
      <c r="AR58" s="74"/>
      <c r="AS58" s="75"/>
      <c r="AT58" s="73"/>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5"/>
    </row>
    <row r="59" spans="1:73" ht="15.75" customHeight="1" x14ac:dyDescent="0.15">
      <c r="A59" s="7"/>
      <c r="B59" s="76">
        <v>45</v>
      </c>
      <c r="C59" s="148" t="str">
        <f>IF('INPUT DATA'!L54="","",'INPUT DATA'!L54)</f>
        <v/>
      </c>
      <c r="D59" s="139"/>
      <c r="E59" s="146"/>
      <c r="F59" s="149" t="str">
        <f>IF('INPUT DATA'!M54="","",'INPUT DATA'!M54)</f>
        <v/>
      </c>
      <c r="G59" s="150"/>
      <c r="H59" s="63" t="str">
        <f>IF('INPUT DATA'!N54="","",'INPUT DATA'!N54)</f>
        <v/>
      </c>
      <c r="I59" s="64" t="str">
        <f t="shared" si="0"/>
        <v/>
      </c>
      <c r="J59" s="65" t="str">
        <f t="shared" si="1"/>
        <v/>
      </c>
      <c r="K59" s="65" t="str">
        <f t="shared" si="2"/>
        <v/>
      </c>
      <c r="L59" s="66" t="str">
        <f t="shared" si="3"/>
        <v/>
      </c>
      <c r="M59" s="77" t="s">
        <v>47</v>
      </c>
      <c r="N59" s="73"/>
      <c r="O59" s="74"/>
      <c r="P59" s="74"/>
      <c r="Q59" s="74"/>
      <c r="R59" s="74"/>
      <c r="S59" s="74"/>
      <c r="T59" s="74"/>
      <c r="U59" s="74"/>
      <c r="V59" s="74"/>
      <c r="W59" s="74"/>
      <c r="X59" s="74"/>
      <c r="Y59" s="75"/>
      <c r="Z59" s="73"/>
      <c r="AA59" s="74"/>
      <c r="AB59" s="74"/>
      <c r="AC59" s="74"/>
      <c r="AD59" s="74"/>
      <c r="AE59" s="74"/>
      <c r="AF59" s="74"/>
      <c r="AG59" s="74"/>
      <c r="AH59" s="74"/>
      <c r="AI59" s="74"/>
      <c r="AJ59" s="74"/>
      <c r="AK59" s="74"/>
      <c r="AL59" s="74"/>
      <c r="AM59" s="74"/>
      <c r="AN59" s="74"/>
      <c r="AO59" s="74"/>
      <c r="AP59" s="74"/>
      <c r="AQ59" s="74"/>
      <c r="AR59" s="74"/>
      <c r="AS59" s="75"/>
      <c r="AT59" s="73"/>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5"/>
    </row>
    <row r="60" spans="1:73" ht="15.75" customHeight="1" x14ac:dyDescent="0.15">
      <c r="A60" s="7"/>
      <c r="B60" s="76">
        <v>46</v>
      </c>
      <c r="C60" s="148" t="str">
        <f>IF('INPUT DATA'!L55="","",'INPUT DATA'!L55)</f>
        <v/>
      </c>
      <c r="D60" s="139"/>
      <c r="E60" s="146"/>
      <c r="F60" s="149" t="str">
        <f>IF('INPUT DATA'!M55="","",'INPUT DATA'!M55)</f>
        <v/>
      </c>
      <c r="G60" s="150"/>
      <c r="H60" s="63" t="str">
        <f>IF('INPUT DATA'!N55="","",'INPUT DATA'!N55)</f>
        <v/>
      </c>
      <c r="I60" s="64" t="str">
        <f t="shared" si="0"/>
        <v/>
      </c>
      <c r="J60" s="65" t="str">
        <f t="shared" si="1"/>
        <v/>
      </c>
      <c r="K60" s="65" t="str">
        <f t="shared" si="2"/>
        <v/>
      </c>
      <c r="L60" s="66" t="str">
        <f t="shared" si="3"/>
        <v/>
      </c>
      <c r="M60" s="77" t="s">
        <v>47</v>
      </c>
      <c r="N60" s="73"/>
      <c r="O60" s="74"/>
      <c r="P60" s="74"/>
      <c r="Q60" s="74"/>
      <c r="R60" s="74"/>
      <c r="S60" s="74"/>
      <c r="T60" s="74"/>
      <c r="U60" s="74"/>
      <c r="V60" s="74"/>
      <c r="W60" s="74"/>
      <c r="X60" s="74"/>
      <c r="Y60" s="75"/>
      <c r="Z60" s="73"/>
      <c r="AA60" s="74"/>
      <c r="AB60" s="74"/>
      <c r="AC60" s="74"/>
      <c r="AD60" s="74"/>
      <c r="AE60" s="74"/>
      <c r="AF60" s="74"/>
      <c r="AG60" s="74"/>
      <c r="AH60" s="74"/>
      <c r="AI60" s="74"/>
      <c r="AJ60" s="74"/>
      <c r="AK60" s="74"/>
      <c r="AL60" s="74"/>
      <c r="AM60" s="74"/>
      <c r="AN60" s="74"/>
      <c r="AO60" s="74"/>
      <c r="AP60" s="74"/>
      <c r="AQ60" s="74"/>
      <c r="AR60" s="74"/>
      <c r="AS60" s="75"/>
      <c r="AT60" s="73"/>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5"/>
    </row>
    <row r="61" spans="1:73" ht="15.75" customHeight="1" x14ac:dyDescent="0.15">
      <c r="A61" s="7"/>
      <c r="B61" s="76">
        <v>47</v>
      </c>
      <c r="C61" s="148" t="str">
        <f>IF('INPUT DATA'!L56="","",'INPUT DATA'!L56)</f>
        <v/>
      </c>
      <c r="D61" s="139"/>
      <c r="E61" s="146"/>
      <c r="F61" s="149" t="str">
        <f>IF('INPUT DATA'!M56="","",'INPUT DATA'!M56)</f>
        <v/>
      </c>
      <c r="G61" s="150"/>
      <c r="H61" s="63" t="str">
        <f>IF('INPUT DATA'!N56="","",'INPUT DATA'!N56)</f>
        <v/>
      </c>
      <c r="I61" s="64" t="str">
        <f t="shared" si="0"/>
        <v/>
      </c>
      <c r="J61" s="65" t="str">
        <f t="shared" si="1"/>
        <v/>
      </c>
      <c r="K61" s="65" t="str">
        <f t="shared" si="2"/>
        <v/>
      </c>
      <c r="L61" s="66" t="str">
        <f t="shared" si="3"/>
        <v/>
      </c>
      <c r="M61" s="77" t="s">
        <v>47</v>
      </c>
      <c r="N61" s="73"/>
      <c r="O61" s="74"/>
      <c r="P61" s="74"/>
      <c r="Q61" s="74"/>
      <c r="R61" s="74"/>
      <c r="S61" s="74"/>
      <c r="T61" s="74"/>
      <c r="U61" s="74"/>
      <c r="V61" s="74"/>
      <c r="W61" s="74"/>
      <c r="X61" s="74"/>
      <c r="Y61" s="75"/>
      <c r="Z61" s="73"/>
      <c r="AA61" s="74"/>
      <c r="AB61" s="74"/>
      <c r="AC61" s="74"/>
      <c r="AD61" s="74"/>
      <c r="AE61" s="74"/>
      <c r="AF61" s="74"/>
      <c r="AG61" s="74"/>
      <c r="AH61" s="74"/>
      <c r="AI61" s="74"/>
      <c r="AJ61" s="74"/>
      <c r="AK61" s="74"/>
      <c r="AL61" s="74"/>
      <c r="AM61" s="74"/>
      <c r="AN61" s="74"/>
      <c r="AO61" s="74"/>
      <c r="AP61" s="74"/>
      <c r="AQ61" s="74"/>
      <c r="AR61" s="74"/>
      <c r="AS61" s="75"/>
      <c r="AT61" s="73"/>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5"/>
    </row>
    <row r="62" spans="1:73" ht="15.75" customHeight="1" x14ac:dyDescent="0.15">
      <c r="A62" s="7"/>
      <c r="B62" s="76">
        <v>48</v>
      </c>
      <c r="C62" s="148" t="str">
        <f>IF('INPUT DATA'!L57="","",'INPUT DATA'!L57)</f>
        <v/>
      </c>
      <c r="D62" s="139"/>
      <c r="E62" s="146"/>
      <c r="F62" s="149" t="str">
        <f>IF('INPUT DATA'!M57="","",'INPUT DATA'!M57)</f>
        <v/>
      </c>
      <c r="G62" s="150"/>
      <c r="H62" s="63" t="str">
        <f>IF('INPUT DATA'!N57="","",'INPUT DATA'!N57)</f>
        <v/>
      </c>
      <c r="I62" s="64" t="str">
        <f t="shared" si="0"/>
        <v/>
      </c>
      <c r="J62" s="65" t="str">
        <f t="shared" si="1"/>
        <v/>
      </c>
      <c r="K62" s="65" t="str">
        <f t="shared" si="2"/>
        <v/>
      </c>
      <c r="L62" s="66" t="str">
        <f t="shared" si="3"/>
        <v/>
      </c>
      <c r="M62" s="77" t="s">
        <v>47</v>
      </c>
      <c r="N62" s="73"/>
      <c r="O62" s="74"/>
      <c r="P62" s="74"/>
      <c r="Q62" s="74"/>
      <c r="R62" s="74"/>
      <c r="S62" s="74"/>
      <c r="T62" s="74"/>
      <c r="U62" s="74"/>
      <c r="V62" s="74"/>
      <c r="W62" s="74"/>
      <c r="X62" s="74"/>
      <c r="Y62" s="75"/>
      <c r="Z62" s="73"/>
      <c r="AA62" s="74"/>
      <c r="AB62" s="74"/>
      <c r="AC62" s="74"/>
      <c r="AD62" s="74"/>
      <c r="AE62" s="74"/>
      <c r="AF62" s="74"/>
      <c r="AG62" s="74"/>
      <c r="AH62" s="74"/>
      <c r="AI62" s="74"/>
      <c r="AJ62" s="74"/>
      <c r="AK62" s="74"/>
      <c r="AL62" s="74"/>
      <c r="AM62" s="74"/>
      <c r="AN62" s="74"/>
      <c r="AO62" s="74"/>
      <c r="AP62" s="74"/>
      <c r="AQ62" s="74"/>
      <c r="AR62" s="74"/>
      <c r="AS62" s="75"/>
      <c r="AT62" s="73"/>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5"/>
    </row>
    <row r="63" spans="1:73" ht="15.75" customHeight="1" x14ac:dyDescent="0.15">
      <c r="A63" s="7"/>
      <c r="B63" s="76">
        <v>49</v>
      </c>
      <c r="C63" s="148" t="str">
        <f>IF('INPUT DATA'!L58="","",'INPUT DATA'!L58)</f>
        <v/>
      </c>
      <c r="D63" s="139"/>
      <c r="E63" s="146"/>
      <c r="F63" s="149" t="str">
        <f>IF('INPUT DATA'!M58="","",'INPUT DATA'!M58)</f>
        <v/>
      </c>
      <c r="G63" s="150"/>
      <c r="H63" s="63" t="str">
        <f>IF('INPUT DATA'!N58="","",'INPUT DATA'!N58)</f>
        <v/>
      </c>
      <c r="I63" s="64" t="str">
        <f t="shared" si="0"/>
        <v/>
      </c>
      <c r="J63" s="65" t="str">
        <f t="shared" si="1"/>
        <v/>
      </c>
      <c r="K63" s="65" t="str">
        <f t="shared" si="2"/>
        <v/>
      </c>
      <c r="L63" s="66" t="str">
        <f t="shared" si="3"/>
        <v/>
      </c>
      <c r="M63" s="77" t="s">
        <v>47</v>
      </c>
      <c r="N63" s="73"/>
      <c r="O63" s="74"/>
      <c r="P63" s="74"/>
      <c r="Q63" s="74"/>
      <c r="R63" s="74"/>
      <c r="S63" s="74"/>
      <c r="T63" s="74"/>
      <c r="U63" s="74"/>
      <c r="V63" s="74"/>
      <c r="W63" s="74"/>
      <c r="X63" s="74"/>
      <c r="Y63" s="75"/>
      <c r="Z63" s="73"/>
      <c r="AA63" s="74"/>
      <c r="AB63" s="74"/>
      <c r="AC63" s="74"/>
      <c r="AD63" s="74"/>
      <c r="AE63" s="74"/>
      <c r="AF63" s="74"/>
      <c r="AG63" s="74"/>
      <c r="AH63" s="74"/>
      <c r="AI63" s="74"/>
      <c r="AJ63" s="74"/>
      <c r="AK63" s="74"/>
      <c r="AL63" s="74"/>
      <c r="AM63" s="74"/>
      <c r="AN63" s="74"/>
      <c r="AO63" s="74"/>
      <c r="AP63" s="74"/>
      <c r="AQ63" s="74"/>
      <c r="AR63" s="74"/>
      <c r="AS63" s="75"/>
      <c r="AT63" s="73"/>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5"/>
    </row>
    <row r="64" spans="1:73" ht="15.75" customHeight="1" x14ac:dyDescent="0.15">
      <c r="A64" s="7"/>
      <c r="B64" s="82">
        <v>50</v>
      </c>
      <c r="C64" s="161" t="str">
        <f>IF('INPUT DATA'!L59="","",'INPUT DATA'!L59)</f>
        <v/>
      </c>
      <c r="D64" s="156"/>
      <c r="E64" s="157"/>
      <c r="F64" s="159" t="str">
        <f>IF('INPUT DATA'!M59="","",'INPUT DATA'!M59)</f>
        <v/>
      </c>
      <c r="G64" s="160"/>
      <c r="H64" s="84" t="str">
        <f>IF('INPUT DATA'!N59="","",'INPUT DATA'!N59)</f>
        <v/>
      </c>
      <c r="I64" s="85" t="str">
        <f t="shared" si="0"/>
        <v/>
      </c>
      <c r="J64" s="86" t="str">
        <f t="shared" si="1"/>
        <v/>
      </c>
      <c r="K64" s="86" t="str">
        <f t="shared" si="2"/>
        <v/>
      </c>
      <c r="L64" s="87" t="str">
        <f t="shared" si="3"/>
        <v/>
      </c>
      <c r="M64" s="88" t="s">
        <v>47</v>
      </c>
      <c r="N64" s="89"/>
      <c r="O64" s="90"/>
      <c r="P64" s="90"/>
      <c r="Q64" s="90"/>
      <c r="R64" s="90"/>
      <c r="S64" s="90"/>
      <c r="T64" s="90"/>
      <c r="U64" s="90"/>
      <c r="V64" s="90"/>
      <c r="W64" s="90"/>
      <c r="X64" s="90"/>
      <c r="Y64" s="91"/>
      <c r="Z64" s="89"/>
      <c r="AA64" s="90"/>
      <c r="AB64" s="90"/>
      <c r="AC64" s="90"/>
      <c r="AD64" s="90"/>
      <c r="AE64" s="90"/>
      <c r="AF64" s="90"/>
      <c r="AG64" s="90"/>
      <c r="AH64" s="90"/>
      <c r="AI64" s="90"/>
      <c r="AJ64" s="90"/>
      <c r="AK64" s="90"/>
      <c r="AL64" s="90"/>
      <c r="AM64" s="90"/>
      <c r="AN64" s="90"/>
      <c r="AO64" s="90"/>
      <c r="AP64" s="90"/>
      <c r="AQ64" s="90"/>
      <c r="AR64" s="90"/>
      <c r="AS64" s="91"/>
      <c r="AT64" s="89"/>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1"/>
    </row>
    <row r="65" spans="1:73" ht="15.75" customHeight="1" x14ac:dyDescent="0.15">
      <c r="A65" s="7"/>
      <c r="B65" s="206" t="s">
        <v>10</v>
      </c>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207"/>
      <c r="BT65" s="207"/>
      <c r="BU65" s="208"/>
    </row>
    <row r="66" spans="1:73" ht="15.75" customHeight="1" x14ac:dyDescent="0.15">
      <c r="A66" s="7"/>
      <c r="B66" s="92">
        <v>1</v>
      </c>
      <c r="C66" s="162" t="str">
        <f>IF('INPUT DATA'!Q11="","",'INPUT DATA'!Q11)</f>
        <v/>
      </c>
      <c r="D66" s="163"/>
      <c r="E66" s="154"/>
      <c r="F66" s="153" t="str">
        <f>IF('INPUT DATA'!R11="","",'INPUT DATA'!R11)</f>
        <v/>
      </c>
      <c r="G66" s="154"/>
      <c r="H66" s="93" t="str">
        <f>IF('INPUT DATA'!S11="","",'INPUT DATA'!S11)</f>
        <v/>
      </c>
      <c r="I66" s="81" t="str">
        <f t="shared" ref="I66:I114" si="4">IF(H66="","",DATEDIF(H66,DATE(2026,6,8),"Y"))</f>
        <v/>
      </c>
      <c r="J66" s="81" t="str">
        <f t="shared" ref="J66:J114" si="5">IF(H66="","",DATEDIF(H66,DATE(2026,6,8),"YM"))</f>
        <v/>
      </c>
      <c r="K66" s="81" t="str">
        <f t="shared" ref="K66:K114" si="6">IF(H66="","",DATEDIF(H66,DATE(2027,4,8),"Y"))</f>
        <v/>
      </c>
      <c r="L66" s="81" t="str">
        <f t="shared" ref="L66:L114" si="7">IF(H66="","",DATEDIF(H66,DATE(2027,4,8),"YM"))</f>
        <v/>
      </c>
      <c r="M66" s="94" t="s">
        <v>51</v>
      </c>
      <c r="N66" s="59"/>
      <c r="O66" s="60"/>
      <c r="P66" s="60"/>
      <c r="Q66" s="60"/>
      <c r="R66" s="60"/>
      <c r="S66" s="60"/>
      <c r="T66" s="60"/>
      <c r="U66" s="60"/>
      <c r="V66" s="60"/>
      <c r="W66" s="60"/>
      <c r="X66" s="60"/>
      <c r="Y66" s="61"/>
      <c r="Z66" s="59"/>
      <c r="AA66" s="60"/>
      <c r="AB66" s="60"/>
      <c r="AC66" s="60"/>
      <c r="AD66" s="60"/>
      <c r="AE66" s="60"/>
      <c r="AF66" s="60"/>
      <c r="AG66" s="60"/>
      <c r="AH66" s="60"/>
      <c r="AI66" s="60"/>
      <c r="AJ66" s="60"/>
      <c r="AK66" s="60"/>
      <c r="AL66" s="60"/>
      <c r="AM66" s="60"/>
      <c r="AN66" s="60"/>
      <c r="AO66" s="60"/>
      <c r="AP66" s="60"/>
      <c r="AQ66" s="60"/>
      <c r="AR66" s="60"/>
      <c r="AS66" s="61"/>
      <c r="AT66" s="59"/>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1"/>
    </row>
    <row r="67" spans="1:73" ht="15.75" customHeight="1" x14ac:dyDescent="0.15">
      <c r="A67" s="7"/>
      <c r="B67" s="95">
        <v>2</v>
      </c>
      <c r="C67" s="145" t="str">
        <f>IF('INPUT DATA'!Q12="","",'INPUT DATA'!Q12)</f>
        <v/>
      </c>
      <c r="D67" s="139"/>
      <c r="E67" s="146"/>
      <c r="F67" s="147" t="str">
        <f>IF('INPUT DATA'!R12="","",'INPUT DATA'!R12)</f>
        <v/>
      </c>
      <c r="G67" s="146"/>
      <c r="H67" s="96" t="str">
        <f>IF('INPUT DATA'!S12="","",'INPUT DATA'!S12)</f>
        <v/>
      </c>
      <c r="I67" s="71" t="str">
        <f t="shared" si="4"/>
        <v/>
      </c>
      <c r="J67" s="71" t="str">
        <f t="shared" si="5"/>
        <v/>
      </c>
      <c r="K67" s="71" t="str">
        <f t="shared" si="6"/>
        <v/>
      </c>
      <c r="L67" s="71" t="str">
        <f t="shared" si="7"/>
        <v/>
      </c>
      <c r="M67" s="78" t="s">
        <v>51</v>
      </c>
      <c r="N67" s="68"/>
      <c r="O67" s="69"/>
      <c r="P67" s="69"/>
      <c r="Q67" s="69"/>
      <c r="R67" s="69"/>
      <c r="S67" s="69"/>
      <c r="T67" s="69"/>
      <c r="U67" s="69"/>
      <c r="V67" s="69"/>
      <c r="W67" s="69"/>
      <c r="X67" s="69"/>
      <c r="Y67" s="70"/>
      <c r="Z67" s="68"/>
      <c r="AA67" s="69"/>
      <c r="AB67" s="69"/>
      <c r="AC67" s="69"/>
      <c r="AD67" s="69"/>
      <c r="AE67" s="69"/>
      <c r="AF67" s="69"/>
      <c r="AG67" s="69"/>
      <c r="AH67" s="69"/>
      <c r="AI67" s="69"/>
      <c r="AJ67" s="69"/>
      <c r="AK67" s="69"/>
      <c r="AL67" s="69"/>
      <c r="AM67" s="69"/>
      <c r="AN67" s="69"/>
      <c r="AO67" s="69"/>
      <c r="AP67" s="69"/>
      <c r="AQ67" s="69"/>
      <c r="AR67" s="69"/>
      <c r="AS67" s="70"/>
      <c r="AT67" s="68"/>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70"/>
    </row>
    <row r="68" spans="1:73" ht="15.75" customHeight="1" x14ac:dyDescent="0.15">
      <c r="A68" s="7"/>
      <c r="B68" s="95">
        <v>3</v>
      </c>
      <c r="C68" s="145" t="str">
        <f>IF('INPUT DATA'!Q13="","",'INPUT DATA'!Q13)</f>
        <v/>
      </c>
      <c r="D68" s="139"/>
      <c r="E68" s="146"/>
      <c r="F68" s="147" t="str">
        <f>IF('INPUT DATA'!R13="","",'INPUT DATA'!R13)</f>
        <v/>
      </c>
      <c r="G68" s="146"/>
      <c r="H68" s="96" t="str">
        <f>IF('INPUT DATA'!S13="","",'INPUT DATA'!S13)</f>
        <v/>
      </c>
      <c r="I68" s="71" t="str">
        <f t="shared" si="4"/>
        <v/>
      </c>
      <c r="J68" s="71" t="str">
        <f t="shared" si="5"/>
        <v/>
      </c>
      <c r="K68" s="71" t="str">
        <f t="shared" si="6"/>
        <v/>
      </c>
      <c r="L68" s="71" t="str">
        <f t="shared" si="7"/>
        <v/>
      </c>
      <c r="M68" s="78" t="s">
        <v>51</v>
      </c>
      <c r="N68" s="73"/>
      <c r="O68" s="74"/>
      <c r="P68" s="74"/>
      <c r="Q68" s="74"/>
      <c r="R68" s="74"/>
      <c r="S68" s="74"/>
      <c r="T68" s="74"/>
      <c r="U68" s="74"/>
      <c r="V68" s="74"/>
      <c r="W68" s="74"/>
      <c r="X68" s="74"/>
      <c r="Y68" s="75"/>
      <c r="Z68" s="73"/>
      <c r="AA68" s="74"/>
      <c r="AB68" s="74"/>
      <c r="AC68" s="74"/>
      <c r="AD68" s="74"/>
      <c r="AE68" s="74"/>
      <c r="AF68" s="74"/>
      <c r="AG68" s="74"/>
      <c r="AH68" s="74"/>
      <c r="AI68" s="74"/>
      <c r="AJ68" s="74"/>
      <c r="AK68" s="74"/>
      <c r="AL68" s="74"/>
      <c r="AM68" s="74"/>
      <c r="AN68" s="74"/>
      <c r="AO68" s="74"/>
      <c r="AP68" s="74"/>
      <c r="AQ68" s="74"/>
      <c r="AR68" s="74"/>
      <c r="AS68" s="75"/>
      <c r="AT68" s="73"/>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5"/>
    </row>
    <row r="69" spans="1:73" ht="15.75" customHeight="1" x14ac:dyDescent="0.15">
      <c r="A69" s="7"/>
      <c r="B69" s="97">
        <v>4</v>
      </c>
      <c r="C69" s="145" t="str">
        <f>IF('INPUT DATA'!Q14="","",'INPUT DATA'!Q14)</f>
        <v/>
      </c>
      <c r="D69" s="139"/>
      <c r="E69" s="146"/>
      <c r="F69" s="147" t="str">
        <f>IF('INPUT DATA'!R14="","",'INPUT DATA'!R14)</f>
        <v/>
      </c>
      <c r="G69" s="146"/>
      <c r="H69" s="96" t="str">
        <f>IF('INPUT DATA'!S14="","",'INPUT DATA'!S14)</f>
        <v/>
      </c>
      <c r="I69" s="71" t="str">
        <f t="shared" si="4"/>
        <v/>
      </c>
      <c r="J69" s="71" t="str">
        <f t="shared" si="5"/>
        <v/>
      </c>
      <c r="K69" s="71" t="str">
        <f t="shared" si="6"/>
        <v/>
      </c>
      <c r="L69" s="71" t="str">
        <f t="shared" si="7"/>
        <v/>
      </c>
      <c r="M69" s="78" t="s">
        <v>51</v>
      </c>
      <c r="N69" s="73"/>
      <c r="O69" s="74"/>
      <c r="P69" s="74"/>
      <c r="Q69" s="74"/>
      <c r="R69" s="74"/>
      <c r="S69" s="74"/>
      <c r="T69" s="74"/>
      <c r="U69" s="74"/>
      <c r="V69" s="74"/>
      <c r="W69" s="74"/>
      <c r="X69" s="74"/>
      <c r="Y69" s="75"/>
      <c r="Z69" s="73"/>
      <c r="AA69" s="74"/>
      <c r="AB69" s="74"/>
      <c r="AC69" s="74"/>
      <c r="AD69" s="74"/>
      <c r="AE69" s="74"/>
      <c r="AF69" s="74"/>
      <c r="AG69" s="74"/>
      <c r="AH69" s="74"/>
      <c r="AI69" s="74"/>
      <c r="AJ69" s="74"/>
      <c r="AK69" s="74"/>
      <c r="AL69" s="74"/>
      <c r="AM69" s="74"/>
      <c r="AN69" s="74"/>
      <c r="AO69" s="74"/>
      <c r="AP69" s="74"/>
      <c r="AQ69" s="74"/>
      <c r="AR69" s="74"/>
      <c r="AS69" s="75"/>
      <c r="AT69" s="73"/>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5"/>
    </row>
    <row r="70" spans="1:73" ht="15.75" customHeight="1" x14ac:dyDescent="0.15">
      <c r="A70" s="7"/>
      <c r="B70" s="97">
        <v>5</v>
      </c>
      <c r="C70" s="145" t="str">
        <f>IF('INPUT DATA'!Q15="","",'INPUT DATA'!Q15)</f>
        <v/>
      </c>
      <c r="D70" s="139"/>
      <c r="E70" s="146"/>
      <c r="F70" s="147" t="str">
        <f>IF('INPUT DATA'!R15="","",'INPUT DATA'!R15)</f>
        <v/>
      </c>
      <c r="G70" s="146"/>
      <c r="H70" s="96" t="str">
        <f>IF('INPUT DATA'!S15="","",'INPUT DATA'!S15)</f>
        <v/>
      </c>
      <c r="I70" s="71" t="str">
        <f t="shared" si="4"/>
        <v/>
      </c>
      <c r="J70" s="71" t="str">
        <f t="shared" si="5"/>
        <v/>
      </c>
      <c r="K70" s="71" t="str">
        <f t="shared" si="6"/>
        <v/>
      </c>
      <c r="L70" s="71" t="str">
        <f t="shared" si="7"/>
        <v/>
      </c>
      <c r="M70" s="78" t="s">
        <v>51</v>
      </c>
      <c r="N70" s="73"/>
      <c r="O70" s="74"/>
      <c r="P70" s="74"/>
      <c r="Q70" s="74"/>
      <c r="R70" s="74"/>
      <c r="S70" s="74"/>
      <c r="T70" s="74"/>
      <c r="U70" s="74"/>
      <c r="V70" s="74"/>
      <c r="W70" s="74"/>
      <c r="X70" s="74"/>
      <c r="Y70" s="75"/>
      <c r="Z70" s="73"/>
      <c r="AA70" s="74"/>
      <c r="AB70" s="74"/>
      <c r="AC70" s="74"/>
      <c r="AD70" s="74"/>
      <c r="AE70" s="74"/>
      <c r="AF70" s="74"/>
      <c r="AG70" s="74"/>
      <c r="AH70" s="74"/>
      <c r="AI70" s="74"/>
      <c r="AJ70" s="74"/>
      <c r="AK70" s="74"/>
      <c r="AL70" s="74"/>
      <c r="AM70" s="74"/>
      <c r="AN70" s="74"/>
      <c r="AO70" s="74"/>
      <c r="AP70" s="74"/>
      <c r="AQ70" s="74"/>
      <c r="AR70" s="74"/>
      <c r="AS70" s="75"/>
      <c r="AT70" s="73"/>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5"/>
    </row>
    <row r="71" spans="1:73" ht="15.75" customHeight="1" x14ac:dyDescent="0.15">
      <c r="A71" s="7"/>
      <c r="B71" s="97">
        <v>6</v>
      </c>
      <c r="C71" s="145" t="str">
        <f>IF('INPUT DATA'!Q16="","",'INPUT DATA'!Q16)</f>
        <v/>
      </c>
      <c r="D71" s="139"/>
      <c r="E71" s="146"/>
      <c r="F71" s="147" t="str">
        <f>IF('INPUT DATA'!R16="","",'INPUT DATA'!R16)</f>
        <v/>
      </c>
      <c r="G71" s="146"/>
      <c r="H71" s="96" t="str">
        <f>IF('INPUT DATA'!S16="","",'INPUT DATA'!S16)</f>
        <v/>
      </c>
      <c r="I71" s="71" t="str">
        <f t="shared" si="4"/>
        <v/>
      </c>
      <c r="J71" s="71" t="str">
        <f t="shared" si="5"/>
        <v/>
      </c>
      <c r="K71" s="71" t="str">
        <f t="shared" si="6"/>
        <v/>
      </c>
      <c r="L71" s="71" t="str">
        <f t="shared" si="7"/>
        <v/>
      </c>
      <c r="M71" s="78" t="s">
        <v>51</v>
      </c>
      <c r="N71" s="68"/>
      <c r="O71" s="69"/>
      <c r="P71" s="69"/>
      <c r="Q71" s="69"/>
      <c r="R71" s="69"/>
      <c r="S71" s="69"/>
      <c r="T71" s="69"/>
      <c r="U71" s="69"/>
      <c r="V71" s="69"/>
      <c r="W71" s="69"/>
      <c r="X71" s="74"/>
      <c r="Y71" s="75"/>
      <c r="Z71" s="68"/>
      <c r="AA71" s="69"/>
      <c r="AB71" s="69"/>
      <c r="AC71" s="69"/>
      <c r="AD71" s="69"/>
      <c r="AE71" s="69"/>
      <c r="AF71" s="69"/>
      <c r="AG71" s="69"/>
      <c r="AH71" s="69"/>
      <c r="AI71" s="69"/>
      <c r="AJ71" s="69"/>
      <c r="AK71" s="69"/>
      <c r="AL71" s="69"/>
      <c r="AM71" s="69"/>
      <c r="AN71" s="69"/>
      <c r="AO71" s="69"/>
      <c r="AP71" s="69"/>
      <c r="AQ71" s="69"/>
      <c r="AR71" s="69"/>
      <c r="AS71" s="75"/>
      <c r="AT71" s="68"/>
      <c r="AU71" s="69"/>
      <c r="AV71" s="69"/>
      <c r="AW71" s="69"/>
      <c r="AX71" s="69"/>
      <c r="AY71" s="74"/>
      <c r="AZ71" s="74"/>
      <c r="BA71" s="74"/>
      <c r="BB71" s="74"/>
      <c r="BC71" s="74"/>
      <c r="BD71" s="74"/>
      <c r="BE71" s="74"/>
      <c r="BF71" s="74"/>
      <c r="BG71" s="74"/>
      <c r="BH71" s="74"/>
      <c r="BI71" s="74"/>
      <c r="BJ71" s="74"/>
      <c r="BK71" s="74"/>
      <c r="BL71" s="74"/>
      <c r="BM71" s="74"/>
      <c r="BN71" s="74"/>
      <c r="BO71" s="74"/>
      <c r="BP71" s="74"/>
      <c r="BQ71" s="74"/>
      <c r="BR71" s="74"/>
      <c r="BS71" s="74"/>
      <c r="BT71" s="74"/>
      <c r="BU71" s="75"/>
    </row>
    <row r="72" spans="1:73" ht="15.75" customHeight="1" x14ac:dyDescent="0.15">
      <c r="A72" s="7"/>
      <c r="B72" s="97">
        <v>7</v>
      </c>
      <c r="C72" s="145" t="str">
        <f>IF('INPUT DATA'!Q17="","",'INPUT DATA'!Q17)</f>
        <v/>
      </c>
      <c r="D72" s="139"/>
      <c r="E72" s="146"/>
      <c r="F72" s="147" t="str">
        <f>IF('INPUT DATA'!R17="","",'INPUT DATA'!R17)</f>
        <v/>
      </c>
      <c r="G72" s="146"/>
      <c r="H72" s="96" t="str">
        <f>IF('INPUT DATA'!S17="","",'INPUT DATA'!S17)</f>
        <v/>
      </c>
      <c r="I72" s="71" t="str">
        <f t="shared" si="4"/>
        <v/>
      </c>
      <c r="J72" s="71" t="str">
        <f t="shared" si="5"/>
        <v/>
      </c>
      <c r="K72" s="71" t="str">
        <f t="shared" si="6"/>
        <v/>
      </c>
      <c r="L72" s="71" t="str">
        <f t="shared" si="7"/>
        <v/>
      </c>
      <c r="M72" s="78" t="s">
        <v>51</v>
      </c>
      <c r="N72" s="73"/>
      <c r="O72" s="74"/>
      <c r="P72" s="74"/>
      <c r="Q72" s="74"/>
      <c r="R72" s="74"/>
      <c r="S72" s="74"/>
      <c r="T72" s="74"/>
      <c r="U72" s="74"/>
      <c r="V72" s="74"/>
      <c r="W72" s="74"/>
      <c r="X72" s="74"/>
      <c r="Y72" s="75"/>
      <c r="Z72" s="73"/>
      <c r="AA72" s="74"/>
      <c r="AB72" s="74"/>
      <c r="AC72" s="74"/>
      <c r="AD72" s="74"/>
      <c r="AE72" s="74"/>
      <c r="AF72" s="74"/>
      <c r="AG72" s="74"/>
      <c r="AH72" s="74"/>
      <c r="AI72" s="74"/>
      <c r="AJ72" s="74"/>
      <c r="AK72" s="74"/>
      <c r="AL72" s="74"/>
      <c r="AM72" s="74"/>
      <c r="AN72" s="74"/>
      <c r="AO72" s="74"/>
      <c r="AP72" s="74"/>
      <c r="AQ72" s="74"/>
      <c r="AR72" s="74"/>
      <c r="AS72" s="75"/>
      <c r="AT72" s="73"/>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5"/>
    </row>
    <row r="73" spans="1:73" ht="15.75" customHeight="1" x14ac:dyDescent="0.15">
      <c r="A73" s="7"/>
      <c r="B73" s="97">
        <v>8</v>
      </c>
      <c r="C73" s="145" t="str">
        <f>IF('INPUT DATA'!Q18="","",'INPUT DATA'!Q18)</f>
        <v/>
      </c>
      <c r="D73" s="139"/>
      <c r="E73" s="146"/>
      <c r="F73" s="147" t="str">
        <f>IF('INPUT DATA'!R18="","",'INPUT DATA'!R18)</f>
        <v/>
      </c>
      <c r="G73" s="146"/>
      <c r="H73" s="96" t="str">
        <f>IF('INPUT DATA'!S18="","",'INPUT DATA'!S18)</f>
        <v/>
      </c>
      <c r="I73" s="71" t="str">
        <f t="shared" si="4"/>
        <v/>
      </c>
      <c r="J73" s="71" t="str">
        <f t="shared" si="5"/>
        <v/>
      </c>
      <c r="K73" s="71" t="str">
        <f t="shared" si="6"/>
        <v/>
      </c>
      <c r="L73" s="71" t="str">
        <f t="shared" si="7"/>
        <v/>
      </c>
      <c r="M73" s="78" t="s">
        <v>51</v>
      </c>
      <c r="N73" s="73"/>
      <c r="O73" s="74"/>
      <c r="P73" s="74"/>
      <c r="Q73" s="74"/>
      <c r="R73" s="74"/>
      <c r="S73" s="74"/>
      <c r="T73" s="74"/>
      <c r="U73" s="74"/>
      <c r="V73" s="74"/>
      <c r="W73" s="74"/>
      <c r="X73" s="74"/>
      <c r="Y73" s="75"/>
      <c r="Z73" s="73"/>
      <c r="AA73" s="74"/>
      <c r="AB73" s="74"/>
      <c r="AC73" s="74"/>
      <c r="AD73" s="74"/>
      <c r="AE73" s="74"/>
      <c r="AF73" s="74"/>
      <c r="AG73" s="74"/>
      <c r="AH73" s="74"/>
      <c r="AI73" s="74"/>
      <c r="AJ73" s="74"/>
      <c r="AK73" s="74"/>
      <c r="AL73" s="74"/>
      <c r="AM73" s="74"/>
      <c r="AN73" s="74"/>
      <c r="AO73" s="74"/>
      <c r="AP73" s="74"/>
      <c r="AQ73" s="74"/>
      <c r="AR73" s="74"/>
      <c r="AS73" s="75"/>
      <c r="AT73" s="73"/>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5"/>
    </row>
    <row r="74" spans="1:73" ht="15.75" customHeight="1" x14ac:dyDescent="0.15">
      <c r="A74" s="7"/>
      <c r="B74" s="97">
        <v>9</v>
      </c>
      <c r="C74" s="145" t="str">
        <f>IF('INPUT DATA'!Q19="","",'INPUT DATA'!Q19)</f>
        <v/>
      </c>
      <c r="D74" s="139"/>
      <c r="E74" s="146"/>
      <c r="F74" s="147" t="str">
        <f>IF('INPUT DATA'!R19="","",'INPUT DATA'!R19)</f>
        <v/>
      </c>
      <c r="G74" s="146"/>
      <c r="H74" s="96" t="str">
        <f>IF('INPUT DATA'!S19="","",'INPUT DATA'!S19)</f>
        <v/>
      </c>
      <c r="I74" s="71" t="str">
        <f t="shared" si="4"/>
        <v/>
      </c>
      <c r="J74" s="71" t="str">
        <f t="shared" si="5"/>
        <v/>
      </c>
      <c r="K74" s="71" t="str">
        <f t="shared" si="6"/>
        <v/>
      </c>
      <c r="L74" s="71" t="str">
        <f t="shared" si="7"/>
        <v/>
      </c>
      <c r="M74" s="78" t="s">
        <v>51</v>
      </c>
      <c r="N74" s="73"/>
      <c r="O74" s="74"/>
      <c r="P74" s="74"/>
      <c r="Q74" s="74"/>
      <c r="R74" s="74"/>
      <c r="S74" s="74"/>
      <c r="T74" s="74"/>
      <c r="U74" s="74"/>
      <c r="V74" s="74"/>
      <c r="W74" s="74"/>
      <c r="X74" s="74"/>
      <c r="Y74" s="75"/>
      <c r="Z74" s="73"/>
      <c r="AA74" s="74"/>
      <c r="AB74" s="74"/>
      <c r="AC74" s="74"/>
      <c r="AD74" s="74"/>
      <c r="AE74" s="74"/>
      <c r="AF74" s="74"/>
      <c r="AG74" s="74"/>
      <c r="AH74" s="74"/>
      <c r="AI74" s="74"/>
      <c r="AJ74" s="74"/>
      <c r="AK74" s="74"/>
      <c r="AL74" s="74"/>
      <c r="AM74" s="74"/>
      <c r="AN74" s="74"/>
      <c r="AO74" s="74"/>
      <c r="AP74" s="74"/>
      <c r="AQ74" s="74"/>
      <c r="AR74" s="74"/>
      <c r="AS74" s="75"/>
      <c r="AT74" s="73"/>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5"/>
    </row>
    <row r="75" spans="1:73" ht="15.75" customHeight="1" x14ac:dyDescent="0.15">
      <c r="A75" s="7"/>
      <c r="B75" s="97">
        <v>10</v>
      </c>
      <c r="C75" s="145" t="str">
        <f>IF('INPUT DATA'!Q20="","",'INPUT DATA'!Q20)</f>
        <v/>
      </c>
      <c r="D75" s="139"/>
      <c r="E75" s="146"/>
      <c r="F75" s="147" t="str">
        <f>IF('INPUT DATA'!R20="","",'INPUT DATA'!R20)</f>
        <v/>
      </c>
      <c r="G75" s="146"/>
      <c r="H75" s="96" t="str">
        <f>IF('INPUT DATA'!S20="","",'INPUT DATA'!S20)</f>
        <v/>
      </c>
      <c r="I75" s="71" t="str">
        <f t="shared" si="4"/>
        <v/>
      </c>
      <c r="J75" s="71" t="str">
        <f t="shared" si="5"/>
        <v/>
      </c>
      <c r="K75" s="71" t="str">
        <f t="shared" si="6"/>
        <v/>
      </c>
      <c r="L75" s="71" t="str">
        <f t="shared" si="7"/>
        <v/>
      </c>
      <c r="M75" s="78" t="s">
        <v>51</v>
      </c>
      <c r="N75" s="73"/>
      <c r="O75" s="74"/>
      <c r="P75" s="74"/>
      <c r="Q75" s="74"/>
      <c r="R75" s="74"/>
      <c r="S75" s="74"/>
      <c r="T75" s="74"/>
      <c r="U75" s="74"/>
      <c r="V75" s="74"/>
      <c r="W75" s="74"/>
      <c r="X75" s="74"/>
      <c r="Y75" s="75"/>
      <c r="Z75" s="73"/>
      <c r="AA75" s="74"/>
      <c r="AB75" s="74"/>
      <c r="AC75" s="74"/>
      <c r="AD75" s="74"/>
      <c r="AE75" s="74"/>
      <c r="AF75" s="74"/>
      <c r="AG75" s="74"/>
      <c r="AH75" s="74"/>
      <c r="AI75" s="74"/>
      <c r="AJ75" s="74"/>
      <c r="AK75" s="74"/>
      <c r="AL75" s="74"/>
      <c r="AM75" s="74"/>
      <c r="AN75" s="74"/>
      <c r="AO75" s="74"/>
      <c r="AP75" s="74"/>
      <c r="AQ75" s="74"/>
      <c r="AR75" s="74"/>
      <c r="AS75" s="75"/>
      <c r="AT75" s="73"/>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5"/>
    </row>
    <row r="76" spans="1:73" ht="15.75" customHeight="1" x14ac:dyDescent="0.15">
      <c r="A76" s="7"/>
      <c r="B76" s="97">
        <v>11</v>
      </c>
      <c r="C76" s="145" t="str">
        <f>IF('INPUT DATA'!Q21="","",'INPUT DATA'!Q21)</f>
        <v/>
      </c>
      <c r="D76" s="139"/>
      <c r="E76" s="146"/>
      <c r="F76" s="147" t="str">
        <f>IF('INPUT DATA'!R21="","",'INPUT DATA'!R21)</f>
        <v/>
      </c>
      <c r="G76" s="146"/>
      <c r="H76" s="96" t="str">
        <f>IF('INPUT DATA'!S21="","",'INPUT DATA'!S21)</f>
        <v/>
      </c>
      <c r="I76" s="71" t="str">
        <f t="shared" si="4"/>
        <v/>
      </c>
      <c r="J76" s="71" t="str">
        <f t="shared" si="5"/>
        <v/>
      </c>
      <c r="K76" s="71" t="str">
        <f t="shared" si="6"/>
        <v/>
      </c>
      <c r="L76" s="71" t="str">
        <f t="shared" si="7"/>
        <v/>
      </c>
      <c r="M76" s="78" t="s">
        <v>51</v>
      </c>
      <c r="N76" s="73"/>
      <c r="O76" s="74"/>
      <c r="P76" s="74"/>
      <c r="Q76" s="74"/>
      <c r="R76" s="74"/>
      <c r="S76" s="74"/>
      <c r="T76" s="74"/>
      <c r="U76" s="74"/>
      <c r="V76" s="74"/>
      <c r="W76" s="74"/>
      <c r="X76" s="74"/>
      <c r="Y76" s="75"/>
      <c r="Z76" s="73"/>
      <c r="AA76" s="74"/>
      <c r="AB76" s="74"/>
      <c r="AC76" s="74"/>
      <c r="AD76" s="74"/>
      <c r="AE76" s="74"/>
      <c r="AF76" s="74"/>
      <c r="AG76" s="74"/>
      <c r="AH76" s="74"/>
      <c r="AI76" s="74"/>
      <c r="AJ76" s="74"/>
      <c r="AK76" s="74"/>
      <c r="AL76" s="74"/>
      <c r="AM76" s="74"/>
      <c r="AN76" s="74"/>
      <c r="AO76" s="74"/>
      <c r="AP76" s="74"/>
      <c r="AQ76" s="74"/>
      <c r="AR76" s="74"/>
      <c r="AS76" s="75"/>
      <c r="AT76" s="73"/>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5"/>
    </row>
    <row r="77" spans="1:73" ht="15.75" customHeight="1" x14ac:dyDescent="0.15">
      <c r="A77" s="7"/>
      <c r="B77" s="97">
        <v>12</v>
      </c>
      <c r="C77" s="145" t="str">
        <f>IF('INPUT DATA'!Q22="","",'INPUT DATA'!Q22)</f>
        <v/>
      </c>
      <c r="D77" s="139"/>
      <c r="E77" s="146"/>
      <c r="F77" s="147" t="str">
        <f>IF('INPUT DATA'!R22="","",'INPUT DATA'!R22)</f>
        <v/>
      </c>
      <c r="G77" s="146"/>
      <c r="H77" s="96" t="str">
        <f>IF('INPUT DATA'!S22="","",'INPUT DATA'!S22)</f>
        <v/>
      </c>
      <c r="I77" s="71" t="str">
        <f t="shared" si="4"/>
        <v/>
      </c>
      <c r="J77" s="71" t="str">
        <f t="shared" si="5"/>
        <v/>
      </c>
      <c r="K77" s="71" t="str">
        <f t="shared" si="6"/>
        <v/>
      </c>
      <c r="L77" s="71" t="str">
        <f t="shared" si="7"/>
        <v/>
      </c>
      <c r="M77" s="78" t="s">
        <v>51</v>
      </c>
      <c r="N77" s="73"/>
      <c r="O77" s="74"/>
      <c r="P77" s="74"/>
      <c r="Q77" s="74"/>
      <c r="R77" s="74"/>
      <c r="S77" s="74"/>
      <c r="T77" s="74"/>
      <c r="U77" s="74"/>
      <c r="V77" s="74"/>
      <c r="W77" s="74"/>
      <c r="X77" s="74"/>
      <c r="Y77" s="75"/>
      <c r="Z77" s="73"/>
      <c r="AA77" s="74"/>
      <c r="AB77" s="74"/>
      <c r="AC77" s="74"/>
      <c r="AD77" s="74"/>
      <c r="AE77" s="74"/>
      <c r="AF77" s="74"/>
      <c r="AG77" s="74"/>
      <c r="AH77" s="74"/>
      <c r="AI77" s="74"/>
      <c r="AJ77" s="74"/>
      <c r="AK77" s="74"/>
      <c r="AL77" s="74"/>
      <c r="AM77" s="74"/>
      <c r="AN77" s="74"/>
      <c r="AO77" s="74"/>
      <c r="AP77" s="74"/>
      <c r="AQ77" s="74"/>
      <c r="AR77" s="74"/>
      <c r="AS77" s="75"/>
      <c r="AT77" s="73"/>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5"/>
    </row>
    <row r="78" spans="1:73" ht="15.75" customHeight="1" x14ac:dyDescent="0.15">
      <c r="A78" s="7"/>
      <c r="B78" s="97">
        <v>13</v>
      </c>
      <c r="C78" s="145" t="str">
        <f>IF('INPUT DATA'!Q23="","",'INPUT DATA'!Q23)</f>
        <v/>
      </c>
      <c r="D78" s="139"/>
      <c r="E78" s="146"/>
      <c r="F78" s="147" t="str">
        <f>IF('INPUT DATA'!R23="","",'INPUT DATA'!R23)</f>
        <v/>
      </c>
      <c r="G78" s="146"/>
      <c r="H78" s="96" t="str">
        <f>IF('INPUT DATA'!S23="","",'INPUT DATA'!S23)</f>
        <v/>
      </c>
      <c r="I78" s="71" t="str">
        <f t="shared" si="4"/>
        <v/>
      </c>
      <c r="J78" s="71" t="str">
        <f t="shared" si="5"/>
        <v/>
      </c>
      <c r="K78" s="71" t="str">
        <f t="shared" si="6"/>
        <v/>
      </c>
      <c r="L78" s="71" t="str">
        <f t="shared" si="7"/>
        <v/>
      </c>
      <c r="M78" s="78" t="s">
        <v>51</v>
      </c>
      <c r="N78" s="73"/>
      <c r="O78" s="74"/>
      <c r="P78" s="74"/>
      <c r="Q78" s="74"/>
      <c r="R78" s="74"/>
      <c r="S78" s="74"/>
      <c r="T78" s="74"/>
      <c r="U78" s="74"/>
      <c r="V78" s="74"/>
      <c r="W78" s="74"/>
      <c r="X78" s="74"/>
      <c r="Y78" s="75"/>
      <c r="Z78" s="73"/>
      <c r="AA78" s="74"/>
      <c r="AB78" s="74"/>
      <c r="AC78" s="74"/>
      <c r="AD78" s="74"/>
      <c r="AE78" s="74"/>
      <c r="AF78" s="74"/>
      <c r="AG78" s="74"/>
      <c r="AH78" s="74"/>
      <c r="AI78" s="74"/>
      <c r="AJ78" s="74"/>
      <c r="AK78" s="74"/>
      <c r="AL78" s="74"/>
      <c r="AM78" s="74"/>
      <c r="AN78" s="74"/>
      <c r="AO78" s="74"/>
      <c r="AP78" s="74"/>
      <c r="AQ78" s="74"/>
      <c r="AR78" s="74"/>
      <c r="AS78" s="75"/>
      <c r="AT78" s="73"/>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5"/>
    </row>
    <row r="79" spans="1:73" ht="15.75" customHeight="1" x14ac:dyDescent="0.15">
      <c r="A79" s="7"/>
      <c r="B79" s="97">
        <v>14</v>
      </c>
      <c r="C79" s="145" t="str">
        <f>IF('INPUT DATA'!Q24="","",'INPUT DATA'!Q24)</f>
        <v/>
      </c>
      <c r="D79" s="139"/>
      <c r="E79" s="146"/>
      <c r="F79" s="147" t="str">
        <f>IF('INPUT DATA'!R24="","",'INPUT DATA'!R24)</f>
        <v/>
      </c>
      <c r="G79" s="146"/>
      <c r="H79" s="96" t="str">
        <f>IF('INPUT DATA'!S24="","",'INPUT DATA'!S24)</f>
        <v/>
      </c>
      <c r="I79" s="71" t="str">
        <f t="shared" si="4"/>
        <v/>
      </c>
      <c r="J79" s="71" t="str">
        <f t="shared" si="5"/>
        <v/>
      </c>
      <c r="K79" s="71" t="str">
        <f t="shared" si="6"/>
        <v/>
      </c>
      <c r="L79" s="71" t="str">
        <f t="shared" si="7"/>
        <v/>
      </c>
      <c r="M79" s="78" t="s">
        <v>51</v>
      </c>
      <c r="N79" s="73"/>
      <c r="O79" s="74"/>
      <c r="P79" s="74"/>
      <c r="Q79" s="74"/>
      <c r="R79" s="74"/>
      <c r="S79" s="74"/>
      <c r="T79" s="74"/>
      <c r="U79" s="74"/>
      <c r="V79" s="74"/>
      <c r="W79" s="74"/>
      <c r="X79" s="74"/>
      <c r="Y79" s="75"/>
      <c r="Z79" s="73"/>
      <c r="AA79" s="74"/>
      <c r="AB79" s="74"/>
      <c r="AC79" s="74"/>
      <c r="AD79" s="74"/>
      <c r="AE79" s="74"/>
      <c r="AF79" s="74"/>
      <c r="AG79" s="74"/>
      <c r="AH79" s="74"/>
      <c r="AI79" s="74"/>
      <c r="AJ79" s="74"/>
      <c r="AK79" s="74"/>
      <c r="AL79" s="74"/>
      <c r="AM79" s="74"/>
      <c r="AN79" s="74"/>
      <c r="AO79" s="74"/>
      <c r="AP79" s="74"/>
      <c r="AQ79" s="74"/>
      <c r="AR79" s="74"/>
      <c r="AS79" s="75"/>
      <c r="AT79" s="73"/>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5"/>
    </row>
    <row r="80" spans="1:73" ht="15.75" customHeight="1" x14ac:dyDescent="0.15">
      <c r="A80" s="7"/>
      <c r="B80" s="97">
        <v>15</v>
      </c>
      <c r="C80" s="145" t="str">
        <f>IF('INPUT DATA'!Q25="","",'INPUT DATA'!Q25)</f>
        <v/>
      </c>
      <c r="D80" s="139"/>
      <c r="E80" s="146"/>
      <c r="F80" s="147" t="str">
        <f>IF('INPUT DATA'!R25="","",'INPUT DATA'!R25)</f>
        <v/>
      </c>
      <c r="G80" s="146"/>
      <c r="H80" s="96" t="str">
        <f>IF('INPUT DATA'!S25="","",'INPUT DATA'!S25)</f>
        <v/>
      </c>
      <c r="I80" s="71" t="str">
        <f t="shared" si="4"/>
        <v/>
      </c>
      <c r="J80" s="71" t="str">
        <f t="shared" si="5"/>
        <v/>
      </c>
      <c r="K80" s="71" t="str">
        <f t="shared" si="6"/>
        <v/>
      </c>
      <c r="L80" s="71" t="str">
        <f t="shared" si="7"/>
        <v/>
      </c>
      <c r="M80" s="78" t="s">
        <v>51</v>
      </c>
      <c r="N80" s="73"/>
      <c r="O80" s="74"/>
      <c r="P80" s="74"/>
      <c r="Q80" s="74"/>
      <c r="R80" s="74"/>
      <c r="S80" s="74"/>
      <c r="T80" s="74"/>
      <c r="U80" s="74"/>
      <c r="V80" s="74"/>
      <c r="W80" s="74"/>
      <c r="X80" s="74"/>
      <c r="Y80" s="75"/>
      <c r="Z80" s="73"/>
      <c r="AA80" s="74"/>
      <c r="AB80" s="74"/>
      <c r="AC80" s="74"/>
      <c r="AD80" s="74"/>
      <c r="AE80" s="74"/>
      <c r="AF80" s="74"/>
      <c r="AG80" s="74"/>
      <c r="AH80" s="74"/>
      <c r="AI80" s="74"/>
      <c r="AJ80" s="74"/>
      <c r="AK80" s="74"/>
      <c r="AL80" s="74"/>
      <c r="AM80" s="74"/>
      <c r="AN80" s="74"/>
      <c r="AO80" s="74"/>
      <c r="AP80" s="74"/>
      <c r="AQ80" s="74"/>
      <c r="AR80" s="74"/>
      <c r="AS80" s="75"/>
      <c r="AT80" s="73"/>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5"/>
    </row>
    <row r="81" spans="1:73" ht="15.75" customHeight="1" x14ac:dyDescent="0.15">
      <c r="A81" s="7"/>
      <c r="B81" s="97">
        <v>16</v>
      </c>
      <c r="C81" s="145" t="str">
        <f>IF('INPUT DATA'!Q26="","",'INPUT DATA'!Q26)</f>
        <v/>
      </c>
      <c r="D81" s="139"/>
      <c r="E81" s="146"/>
      <c r="F81" s="147" t="str">
        <f>IF('INPUT DATA'!R26="","",'INPUT DATA'!R26)</f>
        <v/>
      </c>
      <c r="G81" s="146"/>
      <c r="H81" s="96" t="str">
        <f>IF('INPUT DATA'!S26="","",'INPUT DATA'!S26)</f>
        <v/>
      </c>
      <c r="I81" s="71" t="str">
        <f t="shared" si="4"/>
        <v/>
      </c>
      <c r="J81" s="71" t="str">
        <f t="shared" si="5"/>
        <v/>
      </c>
      <c r="K81" s="71" t="str">
        <f t="shared" si="6"/>
        <v/>
      </c>
      <c r="L81" s="71" t="str">
        <f t="shared" si="7"/>
        <v/>
      </c>
      <c r="M81" s="78" t="s">
        <v>51</v>
      </c>
      <c r="N81" s="73"/>
      <c r="O81" s="74"/>
      <c r="P81" s="74"/>
      <c r="Q81" s="74"/>
      <c r="R81" s="74"/>
      <c r="S81" s="74"/>
      <c r="T81" s="74"/>
      <c r="U81" s="74"/>
      <c r="V81" s="74"/>
      <c r="W81" s="74"/>
      <c r="X81" s="74"/>
      <c r="Y81" s="75"/>
      <c r="Z81" s="73"/>
      <c r="AA81" s="74"/>
      <c r="AB81" s="74"/>
      <c r="AC81" s="74"/>
      <c r="AD81" s="74"/>
      <c r="AE81" s="74"/>
      <c r="AF81" s="74"/>
      <c r="AG81" s="74"/>
      <c r="AH81" s="74"/>
      <c r="AI81" s="74"/>
      <c r="AJ81" s="74"/>
      <c r="AK81" s="74"/>
      <c r="AL81" s="74"/>
      <c r="AM81" s="74"/>
      <c r="AN81" s="74"/>
      <c r="AO81" s="74"/>
      <c r="AP81" s="74"/>
      <c r="AQ81" s="74"/>
      <c r="AR81" s="74"/>
      <c r="AS81" s="75"/>
      <c r="AT81" s="73"/>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5"/>
    </row>
    <row r="82" spans="1:73" ht="15.75" customHeight="1" x14ac:dyDescent="0.15">
      <c r="A82" s="7"/>
      <c r="B82" s="97">
        <v>17</v>
      </c>
      <c r="C82" s="145" t="str">
        <f>IF('INPUT DATA'!Q27="","",'INPUT DATA'!Q27)</f>
        <v/>
      </c>
      <c r="D82" s="139"/>
      <c r="E82" s="146"/>
      <c r="F82" s="147" t="str">
        <f>IF('INPUT DATA'!R27="","",'INPUT DATA'!R27)</f>
        <v/>
      </c>
      <c r="G82" s="146"/>
      <c r="H82" s="96" t="str">
        <f>IF('INPUT DATA'!S27="","",'INPUT DATA'!S27)</f>
        <v/>
      </c>
      <c r="I82" s="71" t="str">
        <f t="shared" si="4"/>
        <v/>
      </c>
      <c r="J82" s="71" t="str">
        <f t="shared" si="5"/>
        <v/>
      </c>
      <c r="K82" s="71" t="str">
        <f t="shared" si="6"/>
        <v/>
      </c>
      <c r="L82" s="71" t="str">
        <f t="shared" si="7"/>
        <v/>
      </c>
      <c r="M82" s="78" t="s">
        <v>51</v>
      </c>
      <c r="N82" s="73"/>
      <c r="O82" s="74"/>
      <c r="P82" s="74"/>
      <c r="Q82" s="74"/>
      <c r="R82" s="74"/>
      <c r="S82" s="74"/>
      <c r="T82" s="74"/>
      <c r="U82" s="74"/>
      <c r="V82" s="74"/>
      <c r="W82" s="74"/>
      <c r="X82" s="74"/>
      <c r="Y82" s="75"/>
      <c r="Z82" s="73"/>
      <c r="AA82" s="74"/>
      <c r="AB82" s="74"/>
      <c r="AC82" s="74"/>
      <c r="AD82" s="74"/>
      <c r="AE82" s="74"/>
      <c r="AF82" s="74"/>
      <c r="AG82" s="74"/>
      <c r="AH82" s="74"/>
      <c r="AI82" s="74"/>
      <c r="AJ82" s="74"/>
      <c r="AK82" s="74"/>
      <c r="AL82" s="74"/>
      <c r="AM82" s="74"/>
      <c r="AN82" s="74"/>
      <c r="AO82" s="74"/>
      <c r="AP82" s="74"/>
      <c r="AQ82" s="74"/>
      <c r="AR82" s="74"/>
      <c r="AS82" s="75"/>
      <c r="AT82" s="73"/>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5"/>
    </row>
    <row r="83" spans="1:73" ht="15.75" customHeight="1" x14ac:dyDescent="0.15">
      <c r="A83" s="7"/>
      <c r="B83" s="97">
        <v>18</v>
      </c>
      <c r="C83" s="145" t="str">
        <f>IF('INPUT DATA'!Q28="","",'INPUT DATA'!Q28)</f>
        <v/>
      </c>
      <c r="D83" s="139"/>
      <c r="E83" s="146"/>
      <c r="F83" s="147" t="str">
        <f>IF('INPUT DATA'!R28="","",'INPUT DATA'!R28)</f>
        <v/>
      </c>
      <c r="G83" s="146"/>
      <c r="H83" s="96" t="str">
        <f>IF('INPUT DATA'!S28="","",'INPUT DATA'!S28)</f>
        <v/>
      </c>
      <c r="I83" s="71" t="str">
        <f t="shared" si="4"/>
        <v/>
      </c>
      <c r="J83" s="71" t="str">
        <f t="shared" si="5"/>
        <v/>
      </c>
      <c r="K83" s="71" t="str">
        <f t="shared" si="6"/>
        <v/>
      </c>
      <c r="L83" s="71" t="str">
        <f t="shared" si="7"/>
        <v/>
      </c>
      <c r="M83" s="78" t="s">
        <v>51</v>
      </c>
      <c r="N83" s="73"/>
      <c r="O83" s="74"/>
      <c r="P83" s="74"/>
      <c r="Q83" s="74"/>
      <c r="R83" s="74"/>
      <c r="S83" s="74"/>
      <c r="T83" s="74"/>
      <c r="U83" s="74"/>
      <c r="V83" s="74"/>
      <c r="W83" s="74"/>
      <c r="X83" s="74"/>
      <c r="Y83" s="75"/>
      <c r="Z83" s="73"/>
      <c r="AA83" s="74"/>
      <c r="AB83" s="74"/>
      <c r="AC83" s="74"/>
      <c r="AD83" s="74"/>
      <c r="AE83" s="74"/>
      <c r="AF83" s="74"/>
      <c r="AG83" s="74"/>
      <c r="AH83" s="74"/>
      <c r="AI83" s="74"/>
      <c r="AJ83" s="74"/>
      <c r="AK83" s="74"/>
      <c r="AL83" s="74"/>
      <c r="AM83" s="74"/>
      <c r="AN83" s="74"/>
      <c r="AO83" s="74"/>
      <c r="AP83" s="74"/>
      <c r="AQ83" s="74"/>
      <c r="AR83" s="74"/>
      <c r="AS83" s="75"/>
      <c r="AT83" s="73"/>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5"/>
    </row>
    <row r="84" spans="1:73" ht="15.75" customHeight="1" x14ac:dyDescent="0.15">
      <c r="A84" s="7"/>
      <c r="B84" s="97">
        <v>19</v>
      </c>
      <c r="C84" s="145" t="str">
        <f>IF('INPUT DATA'!Q29="","",'INPUT DATA'!Q29)</f>
        <v/>
      </c>
      <c r="D84" s="139"/>
      <c r="E84" s="146"/>
      <c r="F84" s="147" t="str">
        <f>IF('INPUT DATA'!R29="","",'INPUT DATA'!R29)</f>
        <v/>
      </c>
      <c r="G84" s="146"/>
      <c r="H84" s="96" t="str">
        <f>IF('INPUT DATA'!S29="","",'INPUT DATA'!S29)</f>
        <v/>
      </c>
      <c r="I84" s="71" t="str">
        <f t="shared" si="4"/>
        <v/>
      </c>
      <c r="J84" s="71" t="str">
        <f t="shared" si="5"/>
        <v/>
      </c>
      <c r="K84" s="71" t="str">
        <f t="shared" si="6"/>
        <v/>
      </c>
      <c r="L84" s="71" t="str">
        <f t="shared" si="7"/>
        <v/>
      </c>
      <c r="M84" s="78" t="s">
        <v>51</v>
      </c>
      <c r="N84" s="73"/>
      <c r="O84" s="74"/>
      <c r="P84" s="74"/>
      <c r="Q84" s="74"/>
      <c r="R84" s="74"/>
      <c r="S84" s="74"/>
      <c r="T84" s="74"/>
      <c r="U84" s="74"/>
      <c r="V84" s="74"/>
      <c r="W84" s="74"/>
      <c r="X84" s="74"/>
      <c r="Y84" s="75"/>
      <c r="Z84" s="73"/>
      <c r="AA84" s="74"/>
      <c r="AB84" s="74"/>
      <c r="AC84" s="74"/>
      <c r="AD84" s="74"/>
      <c r="AE84" s="74"/>
      <c r="AF84" s="74"/>
      <c r="AG84" s="74"/>
      <c r="AH84" s="74"/>
      <c r="AI84" s="74"/>
      <c r="AJ84" s="74"/>
      <c r="AK84" s="74"/>
      <c r="AL84" s="74"/>
      <c r="AM84" s="74"/>
      <c r="AN84" s="74"/>
      <c r="AO84" s="74"/>
      <c r="AP84" s="74"/>
      <c r="AQ84" s="74"/>
      <c r="AR84" s="74"/>
      <c r="AS84" s="75"/>
      <c r="AT84" s="73"/>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5"/>
    </row>
    <row r="85" spans="1:73" ht="15.75" customHeight="1" x14ac:dyDescent="0.15">
      <c r="A85" s="7"/>
      <c r="B85" s="97">
        <v>20</v>
      </c>
      <c r="C85" s="145" t="str">
        <f>IF('INPUT DATA'!Q30="","",'INPUT DATA'!Q30)</f>
        <v/>
      </c>
      <c r="D85" s="139"/>
      <c r="E85" s="146"/>
      <c r="F85" s="147" t="str">
        <f>IF('INPUT DATA'!R30="","",'INPUT DATA'!R30)</f>
        <v/>
      </c>
      <c r="G85" s="146"/>
      <c r="H85" s="96" t="str">
        <f>IF('INPUT DATA'!S30="","",'INPUT DATA'!S30)</f>
        <v/>
      </c>
      <c r="I85" s="71" t="str">
        <f t="shared" si="4"/>
        <v/>
      </c>
      <c r="J85" s="71" t="str">
        <f t="shared" si="5"/>
        <v/>
      </c>
      <c r="K85" s="71" t="str">
        <f t="shared" si="6"/>
        <v/>
      </c>
      <c r="L85" s="71" t="str">
        <f t="shared" si="7"/>
        <v/>
      </c>
      <c r="M85" s="78" t="s">
        <v>51</v>
      </c>
      <c r="N85" s="73"/>
      <c r="O85" s="74"/>
      <c r="P85" s="74"/>
      <c r="Q85" s="74"/>
      <c r="R85" s="74"/>
      <c r="S85" s="74"/>
      <c r="T85" s="74"/>
      <c r="U85" s="74"/>
      <c r="V85" s="74"/>
      <c r="W85" s="74"/>
      <c r="X85" s="74"/>
      <c r="Y85" s="75"/>
      <c r="Z85" s="73"/>
      <c r="AA85" s="74"/>
      <c r="AB85" s="74"/>
      <c r="AC85" s="74"/>
      <c r="AD85" s="74"/>
      <c r="AE85" s="74"/>
      <c r="AF85" s="74"/>
      <c r="AG85" s="74"/>
      <c r="AH85" s="74"/>
      <c r="AI85" s="74"/>
      <c r="AJ85" s="74"/>
      <c r="AK85" s="74"/>
      <c r="AL85" s="74"/>
      <c r="AM85" s="74"/>
      <c r="AN85" s="74"/>
      <c r="AO85" s="74"/>
      <c r="AP85" s="74"/>
      <c r="AQ85" s="74"/>
      <c r="AR85" s="74"/>
      <c r="AS85" s="75"/>
      <c r="AT85" s="73"/>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5"/>
    </row>
    <row r="86" spans="1:73" ht="15.75" customHeight="1" x14ac:dyDescent="0.15">
      <c r="A86" s="7"/>
      <c r="B86" s="97">
        <v>21</v>
      </c>
      <c r="C86" s="145" t="str">
        <f>IF('INPUT DATA'!Q31="","",'INPUT DATA'!Q31)</f>
        <v/>
      </c>
      <c r="D86" s="139"/>
      <c r="E86" s="146"/>
      <c r="F86" s="147" t="str">
        <f>IF('INPUT DATA'!R31="","",'INPUT DATA'!R31)</f>
        <v/>
      </c>
      <c r="G86" s="146"/>
      <c r="H86" s="96" t="str">
        <f>IF('INPUT DATA'!S31="","",'INPUT DATA'!S31)</f>
        <v/>
      </c>
      <c r="I86" s="71" t="str">
        <f t="shared" si="4"/>
        <v/>
      </c>
      <c r="J86" s="71" t="str">
        <f t="shared" si="5"/>
        <v/>
      </c>
      <c r="K86" s="71" t="str">
        <f t="shared" si="6"/>
        <v/>
      </c>
      <c r="L86" s="71" t="str">
        <f t="shared" si="7"/>
        <v/>
      </c>
      <c r="M86" s="78" t="s">
        <v>51</v>
      </c>
      <c r="N86" s="73"/>
      <c r="O86" s="74"/>
      <c r="P86" s="74"/>
      <c r="Q86" s="74"/>
      <c r="R86" s="74"/>
      <c r="S86" s="74"/>
      <c r="T86" s="74"/>
      <c r="U86" s="74"/>
      <c r="V86" s="74"/>
      <c r="W86" s="74"/>
      <c r="X86" s="74"/>
      <c r="Y86" s="75"/>
      <c r="Z86" s="73"/>
      <c r="AA86" s="74"/>
      <c r="AB86" s="74"/>
      <c r="AC86" s="74"/>
      <c r="AD86" s="74"/>
      <c r="AE86" s="74"/>
      <c r="AF86" s="74"/>
      <c r="AG86" s="74"/>
      <c r="AH86" s="74"/>
      <c r="AI86" s="74"/>
      <c r="AJ86" s="74"/>
      <c r="AK86" s="74"/>
      <c r="AL86" s="74"/>
      <c r="AM86" s="74"/>
      <c r="AN86" s="74"/>
      <c r="AO86" s="74"/>
      <c r="AP86" s="74"/>
      <c r="AQ86" s="74"/>
      <c r="AR86" s="74"/>
      <c r="AS86" s="75"/>
      <c r="AT86" s="73"/>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5"/>
    </row>
    <row r="87" spans="1:73" ht="15.75" customHeight="1" x14ac:dyDescent="0.15">
      <c r="A87" s="7"/>
      <c r="B87" s="97">
        <v>22</v>
      </c>
      <c r="C87" s="145" t="str">
        <f>IF('INPUT DATA'!Q32="","",'INPUT DATA'!Q32)</f>
        <v/>
      </c>
      <c r="D87" s="139"/>
      <c r="E87" s="146"/>
      <c r="F87" s="147" t="str">
        <f>IF('INPUT DATA'!R32="","",'INPUT DATA'!R32)</f>
        <v/>
      </c>
      <c r="G87" s="146"/>
      <c r="H87" s="96" t="str">
        <f>IF('INPUT DATA'!S32="","",'INPUT DATA'!S32)</f>
        <v/>
      </c>
      <c r="I87" s="71" t="str">
        <f t="shared" si="4"/>
        <v/>
      </c>
      <c r="J87" s="71" t="str">
        <f t="shared" si="5"/>
        <v/>
      </c>
      <c r="K87" s="71" t="str">
        <f t="shared" si="6"/>
        <v/>
      </c>
      <c r="L87" s="71" t="str">
        <f t="shared" si="7"/>
        <v/>
      </c>
      <c r="M87" s="78" t="s">
        <v>51</v>
      </c>
      <c r="N87" s="73"/>
      <c r="O87" s="74"/>
      <c r="P87" s="74"/>
      <c r="Q87" s="74"/>
      <c r="R87" s="74"/>
      <c r="S87" s="74"/>
      <c r="T87" s="74"/>
      <c r="U87" s="74"/>
      <c r="V87" s="74"/>
      <c r="W87" s="74"/>
      <c r="X87" s="74"/>
      <c r="Y87" s="75"/>
      <c r="Z87" s="73"/>
      <c r="AA87" s="74"/>
      <c r="AB87" s="74"/>
      <c r="AC87" s="74"/>
      <c r="AD87" s="74"/>
      <c r="AE87" s="74"/>
      <c r="AF87" s="74"/>
      <c r="AG87" s="74"/>
      <c r="AH87" s="74"/>
      <c r="AI87" s="74"/>
      <c r="AJ87" s="74"/>
      <c r="AK87" s="74"/>
      <c r="AL87" s="74"/>
      <c r="AM87" s="74"/>
      <c r="AN87" s="74"/>
      <c r="AO87" s="74"/>
      <c r="AP87" s="74"/>
      <c r="AQ87" s="74"/>
      <c r="AR87" s="74"/>
      <c r="AS87" s="75"/>
      <c r="AT87" s="73"/>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5"/>
    </row>
    <row r="88" spans="1:73" ht="15.75" customHeight="1" x14ac:dyDescent="0.15">
      <c r="A88" s="7"/>
      <c r="B88" s="97">
        <v>23</v>
      </c>
      <c r="C88" s="145" t="str">
        <f>IF('INPUT DATA'!Q33="","",'INPUT DATA'!Q33)</f>
        <v/>
      </c>
      <c r="D88" s="139"/>
      <c r="E88" s="146"/>
      <c r="F88" s="147" t="str">
        <f>IF('INPUT DATA'!R33="","",'INPUT DATA'!R33)</f>
        <v/>
      </c>
      <c r="G88" s="146"/>
      <c r="H88" s="96" t="str">
        <f>IF('INPUT DATA'!S33="","",'INPUT DATA'!S33)</f>
        <v/>
      </c>
      <c r="I88" s="71" t="str">
        <f t="shared" si="4"/>
        <v/>
      </c>
      <c r="J88" s="71" t="str">
        <f t="shared" si="5"/>
        <v/>
      </c>
      <c r="K88" s="71" t="str">
        <f t="shared" si="6"/>
        <v/>
      </c>
      <c r="L88" s="71" t="str">
        <f t="shared" si="7"/>
        <v/>
      </c>
      <c r="M88" s="78" t="s">
        <v>51</v>
      </c>
      <c r="N88" s="73"/>
      <c r="O88" s="74"/>
      <c r="P88" s="74"/>
      <c r="Q88" s="74"/>
      <c r="R88" s="74"/>
      <c r="S88" s="74"/>
      <c r="T88" s="74"/>
      <c r="U88" s="74"/>
      <c r="V88" s="74"/>
      <c r="W88" s="74"/>
      <c r="X88" s="74"/>
      <c r="Y88" s="75"/>
      <c r="Z88" s="73"/>
      <c r="AA88" s="74"/>
      <c r="AB88" s="74"/>
      <c r="AC88" s="74"/>
      <c r="AD88" s="74"/>
      <c r="AE88" s="74"/>
      <c r="AF88" s="74"/>
      <c r="AG88" s="74"/>
      <c r="AH88" s="74"/>
      <c r="AI88" s="74"/>
      <c r="AJ88" s="74"/>
      <c r="AK88" s="74"/>
      <c r="AL88" s="74"/>
      <c r="AM88" s="74"/>
      <c r="AN88" s="74"/>
      <c r="AO88" s="74"/>
      <c r="AP88" s="74"/>
      <c r="AQ88" s="74"/>
      <c r="AR88" s="74"/>
      <c r="AS88" s="75"/>
      <c r="AT88" s="73"/>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5"/>
    </row>
    <row r="89" spans="1:73" ht="15.75" customHeight="1" x14ac:dyDescent="0.15">
      <c r="A89" s="7"/>
      <c r="B89" s="97">
        <v>24</v>
      </c>
      <c r="C89" s="145" t="str">
        <f>IF('INPUT DATA'!Q34="","",'INPUT DATA'!Q34)</f>
        <v/>
      </c>
      <c r="D89" s="139"/>
      <c r="E89" s="146"/>
      <c r="F89" s="147" t="str">
        <f>IF('INPUT DATA'!R34="","",'INPUT DATA'!R34)</f>
        <v/>
      </c>
      <c r="G89" s="146"/>
      <c r="H89" s="96" t="str">
        <f>IF('INPUT DATA'!S34="","",'INPUT DATA'!S34)</f>
        <v/>
      </c>
      <c r="I89" s="71" t="str">
        <f t="shared" si="4"/>
        <v/>
      </c>
      <c r="J89" s="71" t="str">
        <f t="shared" si="5"/>
        <v/>
      </c>
      <c r="K89" s="71" t="str">
        <f t="shared" si="6"/>
        <v/>
      </c>
      <c r="L89" s="71" t="str">
        <f t="shared" si="7"/>
        <v/>
      </c>
      <c r="M89" s="78" t="s">
        <v>51</v>
      </c>
      <c r="N89" s="73"/>
      <c r="O89" s="74"/>
      <c r="P89" s="74"/>
      <c r="Q89" s="74"/>
      <c r="R89" s="74"/>
      <c r="S89" s="74"/>
      <c r="T89" s="74"/>
      <c r="U89" s="74"/>
      <c r="V89" s="74"/>
      <c r="W89" s="74"/>
      <c r="X89" s="74"/>
      <c r="Y89" s="75"/>
      <c r="Z89" s="73"/>
      <c r="AA89" s="74"/>
      <c r="AB89" s="74"/>
      <c r="AC89" s="74"/>
      <c r="AD89" s="74"/>
      <c r="AE89" s="74"/>
      <c r="AF89" s="74"/>
      <c r="AG89" s="74"/>
      <c r="AH89" s="74"/>
      <c r="AI89" s="74"/>
      <c r="AJ89" s="74"/>
      <c r="AK89" s="74"/>
      <c r="AL89" s="74"/>
      <c r="AM89" s="74"/>
      <c r="AN89" s="74"/>
      <c r="AO89" s="74"/>
      <c r="AP89" s="74"/>
      <c r="AQ89" s="74"/>
      <c r="AR89" s="74"/>
      <c r="AS89" s="75"/>
      <c r="AT89" s="73"/>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5"/>
    </row>
    <row r="90" spans="1:73" ht="15.75" customHeight="1" x14ac:dyDescent="0.15">
      <c r="A90" s="7"/>
      <c r="B90" s="97">
        <v>25</v>
      </c>
      <c r="C90" s="145" t="str">
        <f>IF('INPUT DATA'!Q35="","",'INPUT DATA'!Q35)</f>
        <v/>
      </c>
      <c r="D90" s="139"/>
      <c r="E90" s="146"/>
      <c r="F90" s="147" t="str">
        <f>IF('INPUT DATA'!R35="","",'INPUT DATA'!R35)</f>
        <v/>
      </c>
      <c r="G90" s="146"/>
      <c r="H90" s="96" t="str">
        <f>IF('INPUT DATA'!S35="","",'INPUT DATA'!S35)</f>
        <v/>
      </c>
      <c r="I90" s="71" t="str">
        <f t="shared" si="4"/>
        <v/>
      </c>
      <c r="J90" s="71" t="str">
        <f t="shared" si="5"/>
        <v/>
      </c>
      <c r="K90" s="71" t="str">
        <f t="shared" si="6"/>
        <v/>
      </c>
      <c r="L90" s="71" t="str">
        <f t="shared" si="7"/>
        <v/>
      </c>
      <c r="M90" s="78" t="s">
        <v>51</v>
      </c>
      <c r="N90" s="73"/>
      <c r="O90" s="74"/>
      <c r="P90" s="74"/>
      <c r="Q90" s="74"/>
      <c r="R90" s="74"/>
      <c r="S90" s="74"/>
      <c r="T90" s="74"/>
      <c r="U90" s="74"/>
      <c r="V90" s="74"/>
      <c r="W90" s="74"/>
      <c r="X90" s="74"/>
      <c r="Y90" s="75"/>
      <c r="Z90" s="73"/>
      <c r="AA90" s="74"/>
      <c r="AB90" s="74"/>
      <c r="AC90" s="74"/>
      <c r="AD90" s="74"/>
      <c r="AE90" s="74"/>
      <c r="AF90" s="74"/>
      <c r="AG90" s="74"/>
      <c r="AH90" s="74"/>
      <c r="AI90" s="74"/>
      <c r="AJ90" s="74"/>
      <c r="AK90" s="74"/>
      <c r="AL90" s="74"/>
      <c r="AM90" s="74"/>
      <c r="AN90" s="74"/>
      <c r="AO90" s="74"/>
      <c r="AP90" s="74"/>
      <c r="AQ90" s="74"/>
      <c r="AR90" s="74"/>
      <c r="AS90" s="75"/>
      <c r="AT90" s="73"/>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5"/>
    </row>
    <row r="91" spans="1:73" ht="15.75" customHeight="1" x14ac:dyDescent="0.15">
      <c r="A91" s="7"/>
      <c r="B91" s="97">
        <v>26</v>
      </c>
      <c r="C91" s="145" t="str">
        <f>IF('INPUT DATA'!Q36="","",'INPUT DATA'!Q36)</f>
        <v/>
      </c>
      <c r="D91" s="139"/>
      <c r="E91" s="146"/>
      <c r="F91" s="147" t="str">
        <f>IF('INPUT DATA'!R36="","",'INPUT DATA'!R36)</f>
        <v/>
      </c>
      <c r="G91" s="146"/>
      <c r="H91" s="96" t="str">
        <f>IF('INPUT DATA'!S36="","",'INPUT DATA'!S36)</f>
        <v/>
      </c>
      <c r="I91" s="71" t="str">
        <f t="shared" si="4"/>
        <v/>
      </c>
      <c r="J91" s="71" t="str">
        <f t="shared" si="5"/>
        <v/>
      </c>
      <c r="K91" s="71" t="str">
        <f t="shared" si="6"/>
        <v/>
      </c>
      <c r="L91" s="71" t="str">
        <f t="shared" si="7"/>
        <v/>
      </c>
      <c r="M91" s="78" t="s">
        <v>51</v>
      </c>
      <c r="N91" s="73"/>
      <c r="O91" s="74"/>
      <c r="P91" s="74"/>
      <c r="Q91" s="74"/>
      <c r="R91" s="74"/>
      <c r="S91" s="74"/>
      <c r="T91" s="74"/>
      <c r="U91" s="74"/>
      <c r="V91" s="74"/>
      <c r="W91" s="74"/>
      <c r="X91" s="74"/>
      <c r="Y91" s="75"/>
      <c r="Z91" s="73"/>
      <c r="AA91" s="74"/>
      <c r="AB91" s="74"/>
      <c r="AC91" s="74"/>
      <c r="AD91" s="74"/>
      <c r="AE91" s="74"/>
      <c r="AF91" s="74"/>
      <c r="AG91" s="74"/>
      <c r="AH91" s="74"/>
      <c r="AI91" s="74"/>
      <c r="AJ91" s="74"/>
      <c r="AK91" s="74"/>
      <c r="AL91" s="74"/>
      <c r="AM91" s="74"/>
      <c r="AN91" s="74"/>
      <c r="AO91" s="74"/>
      <c r="AP91" s="74"/>
      <c r="AQ91" s="74"/>
      <c r="AR91" s="74"/>
      <c r="AS91" s="75"/>
      <c r="AT91" s="73"/>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5"/>
    </row>
    <row r="92" spans="1:73" ht="15.75" customHeight="1" x14ac:dyDescent="0.15">
      <c r="A92" s="7"/>
      <c r="B92" s="101">
        <v>27</v>
      </c>
      <c r="C92" s="145" t="str">
        <f>IF('INPUT DATA'!Q37="","",'INPUT DATA'!Q37)</f>
        <v/>
      </c>
      <c r="D92" s="139"/>
      <c r="E92" s="146"/>
      <c r="F92" s="147" t="str">
        <f>IF('INPUT DATA'!R37="","",'INPUT DATA'!R37)</f>
        <v/>
      </c>
      <c r="G92" s="146"/>
      <c r="H92" s="96" t="str">
        <f>IF('INPUT DATA'!S37="","",'INPUT DATA'!S37)</f>
        <v/>
      </c>
      <c r="I92" s="71" t="str">
        <f t="shared" si="4"/>
        <v/>
      </c>
      <c r="J92" s="71" t="str">
        <f t="shared" si="5"/>
        <v/>
      </c>
      <c r="K92" s="71" t="str">
        <f t="shared" si="6"/>
        <v/>
      </c>
      <c r="L92" s="71" t="str">
        <f t="shared" si="7"/>
        <v/>
      </c>
      <c r="M92" s="78" t="s">
        <v>51</v>
      </c>
      <c r="N92" s="73"/>
      <c r="O92" s="74"/>
      <c r="P92" s="74"/>
      <c r="Q92" s="74"/>
      <c r="R92" s="74"/>
      <c r="S92" s="74"/>
      <c r="T92" s="74"/>
      <c r="U92" s="74"/>
      <c r="V92" s="74"/>
      <c r="W92" s="74"/>
      <c r="X92" s="74"/>
      <c r="Y92" s="75"/>
      <c r="Z92" s="73"/>
      <c r="AA92" s="74"/>
      <c r="AB92" s="74"/>
      <c r="AC92" s="74"/>
      <c r="AD92" s="74"/>
      <c r="AE92" s="74"/>
      <c r="AF92" s="74"/>
      <c r="AG92" s="74"/>
      <c r="AH92" s="74"/>
      <c r="AI92" s="74"/>
      <c r="AJ92" s="74"/>
      <c r="AK92" s="74"/>
      <c r="AL92" s="74"/>
      <c r="AM92" s="74"/>
      <c r="AN92" s="74"/>
      <c r="AO92" s="74"/>
      <c r="AP92" s="74"/>
      <c r="AQ92" s="74"/>
      <c r="AR92" s="74"/>
      <c r="AS92" s="75"/>
      <c r="AT92" s="73"/>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5"/>
    </row>
    <row r="93" spans="1:73" ht="15.75" customHeight="1" x14ac:dyDescent="0.15">
      <c r="A93" s="7"/>
      <c r="B93" s="97">
        <v>28</v>
      </c>
      <c r="C93" s="145" t="str">
        <f>IF('INPUT DATA'!Q38="","",'INPUT DATA'!Q38)</f>
        <v/>
      </c>
      <c r="D93" s="139"/>
      <c r="E93" s="146"/>
      <c r="F93" s="147" t="str">
        <f>IF('INPUT DATA'!R38="","",'INPUT DATA'!R38)</f>
        <v/>
      </c>
      <c r="G93" s="146"/>
      <c r="H93" s="96" t="str">
        <f>IF('INPUT DATA'!S38="","",'INPUT DATA'!S38)</f>
        <v/>
      </c>
      <c r="I93" s="71" t="str">
        <f t="shared" si="4"/>
        <v/>
      </c>
      <c r="J93" s="71" t="str">
        <f t="shared" si="5"/>
        <v/>
      </c>
      <c r="K93" s="71" t="str">
        <f t="shared" si="6"/>
        <v/>
      </c>
      <c r="L93" s="71" t="str">
        <f t="shared" si="7"/>
        <v/>
      </c>
      <c r="M93" s="78" t="s">
        <v>51</v>
      </c>
      <c r="N93" s="73"/>
      <c r="O93" s="74"/>
      <c r="P93" s="74"/>
      <c r="Q93" s="74"/>
      <c r="R93" s="74"/>
      <c r="S93" s="74"/>
      <c r="T93" s="74"/>
      <c r="U93" s="74"/>
      <c r="V93" s="74"/>
      <c r="W93" s="74"/>
      <c r="X93" s="74"/>
      <c r="Y93" s="75"/>
      <c r="Z93" s="73"/>
      <c r="AA93" s="74"/>
      <c r="AB93" s="74"/>
      <c r="AC93" s="74"/>
      <c r="AD93" s="74"/>
      <c r="AE93" s="74"/>
      <c r="AF93" s="74"/>
      <c r="AG93" s="74"/>
      <c r="AH93" s="74"/>
      <c r="AI93" s="74"/>
      <c r="AJ93" s="74"/>
      <c r="AK93" s="74"/>
      <c r="AL93" s="74"/>
      <c r="AM93" s="74"/>
      <c r="AN93" s="74"/>
      <c r="AO93" s="74"/>
      <c r="AP93" s="74"/>
      <c r="AQ93" s="74"/>
      <c r="AR93" s="74"/>
      <c r="AS93" s="75"/>
      <c r="AT93" s="73"/>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5"/>
    </row>
    <row r="94" spans="1:73" ht="15.75" customHeight="1" x14ac:dyDescent="0.15">
      <c r="A94" s="7"/>
      <c r="B94" s="97">
        <v>29</v>
      </c>
      <c r="C94" s="145" t="str">
        <f>IF('INPUT DATA'!Q39="","",'INPUT DATA'!Q39)</f>
        <v/>
      </c>
      <c r="D94" s="139"/>
      <c r="E94" s="146"/>
      <c r="F94" s="147" t="str">
        <f>IF('INPUT DATA'!R39="","",'INPUT DATA'!R39)</f>
        <v/>
      </c>
      <c r="G94" s="146"/>
      <c r="H94" s="96" t="str">
        <f>IF('INPUT DATA'!S39="","",'INPUT DATA'!S39)</f>
        <v/>
      </c>
      <c r="I94" s="71" t="str">
        <f t="shared" si="4"/>
        <v/>
      </c>
      <c r="J94" s="71" t="str">
        <f t="shared" si="5"/>
        <v/>
      </c>
      <c r="K94" s="71" t="str">
        <f t="shared" si="6"/>
        <v/>
      </c>
      <c r="L94" s="71" t="str">
        <f t="shared" si="7"/>
        <v/>
      </c>
      <c r="M94" s="78" t="s">
        <v>51</v>
      </c>
      <c r="N94" s="73"/>
      <c r="O94" s="74"/>
      <c r="P94" s="74"/>
      <c r="Q94" s="74"/>
      <c r="R94" s="74"/>
      <c r="S94" s="74"/>
      <c r="T94" s="74"/>
      <c r="U94" s="74"/>
      <c r="V94" s="74"/>
      <c r="W94" s="74"/>
      <c r="X94" s="74"/>
      <c r="Y94" s="75"/>
      <c r="Z94" s="73"/>
      <c r="AA94" s="74"/>
      <c r="AB94" s="74"/>
      <c r="AC94" s="74"/>
      <c r="AD94" s="74"/>
      <c r="AE94" s="74"/>
      <c r="AF94" s="74"/>
      <c r="AG94" s="74"/>
      <c r="AH94" s="74"/>
      <c r="AI94" s="74"/>
      <c r="AJ94" s="74"/>
      <c r="AK94" s="74"/>
      <c r="AL94" s="74"/>
      <c r="AM94" s="74"/>
      <c r="AN94" s="74"/>
      <c r="AO94" s="74"/>
      <c r="AP94" s="74"/>
      <c r="AQ94" s="74"/>
      <c r="AR94" s="74"/>
      <c r="AS94" s="75"/>
      <c r="AT94" s="73"/>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5"/>
    </row>
    <row r="95" spans="1:73" ht="15.75" customHeight="1" x14ac:dyDescent="0.15">
      <c r="A95" s="7"/>
      <c r="B95" s="97">
        <v>31</v>
      </c>
      <c r="C95" s="145" t="str">
        <f>IF('INPUT DATA'!Q40="","",'INPUT DATA'!Q40)</f>
        <v/>
      </c>
      <c r="D95" s="139"/>
      <c r="E95" s="146"/>
      <c r="F95" s="147" t="str">
        <f>IF('INPUT DATA'!R40="","",'INPUT DATA'!R40)</f>
        <v/>
      </c>
      <c r="G95" s="146"/>
      <c r="H95" s="96" t="str">
        <f>IF('INPUT DATA'!S40="","",'INPUT DATA'!S40)</f>
        <v/>
      </c>
      <c r="I95" s="71" t="str">
        <f t="shared" si="4"/>
        <v/>
      </c>
      <c r="J95" s="71" t="str">
        <f t="shared" si="5"/>
        <v/>
      </c>
      <c r="K95" s="71" t="str">
        <f t="shared" si="6"/>
        <v/>
      </c>
      <c r="L95" s="71" t="str">
        <f t="shared" si="7"/>
        <v/>
      </c>
      <c r="M95" s="78" t="s">
        <v>51</v>
      </c>
      <c r="N95" s="73"/>
      <c r="O95" s="74"/>
      <c r="P95" s="74"/>
      <c r="Q95" s="74"/>
      <c r="R95" s="74"/>
      <c r="S95" s="74"/>
      <c r="T95" s="74"/>
      <c r="U95" s="74"/>
      <c r="V95" s="74"/>
      <c r="W95" s="74"/>
      <c r="X95" s="74"/>
      <c r="Y95" s="75"/>
      <c r="Z95" s="73"/>
      <c r="AA95" s="74"/>
      <c r="AB95" s="74"/>
      <c r="AC95" s="74"/>
      <c r="AD95" s="74"/>
      <c r="AE95" s="74"/>
      <c r="AF95" s="74"/>
      <c r="AG95" s="74"/>
      <c r="AH95" s="74"/>
      <c r="AI95" s="74"/>
      <c r="AJ95" s="74"/>
      <c r="AK95" s="74"/>
      <c r="AL95" s="74"/>
      <c r="AM95" s="74"/>
      <c r="AN95" s="74"/>
      <c r="AO95" s="74"/>
      <c r="AP95" s="74"/>
      <c r="AQ95" s="74"/>
      <c r="AR95" s="74"/>
      <c r="AS95" s="75"/>
      <c r="AT95" s="73"/>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5"/>
    </row>
    <row r="96" spans="1:73" ht="15.75" customHeight="1" x14ac:dyDescent="0.15">
      <c r="A96" s="7"/>
      <c r="B96" s="97">
        <v>32</v>
      </c>
      <c r="C96" s="145" t="str">
        <f>IF('INPUT DATA'!Q41="","",'INPUT DATA'!Q41)</f>
        <v/>
      </c>
      <c r="D96" s="139"/>
      <c r="E96" s="146"/>
      <c r="F96" s="147" t="str">
        <f>IF('INPUT DATA'!R41="","",'INPUT DATA'!R41)</f>
        <v/>
      </c>
      <c r="G96" s="146"/>
      <c r="H96" s="96" t="str">
        <f>IF('INPUT DATA'!S41="","",'INPUT DATA'!S41)</f>
        <v/>
      </c>
      <c r="I96" s="71" t="str">
        <f t="shared" si="4"/>
        <v/>
      </c>
      <c r="J96" s="71" t="str">
        <f t="shared" si="5"/>
        <v/>
      </c>
      <c r="K96" s="71" t="str">
        <f t="shared" si="6"/>
        <v/>
      </c>
      <c r="L96" s="71" t="str">
        <f t="shared" si="7"/>
        <v/>
      </c>
      <c r="M96" s="78" t="s">
        <v>51</v>
      </c>
      <c r="N96" s="73"/>
      <c r="O96" s="74"/>
      <c r="P96" s="74"/>
      <c r="Q96" s="74"/>
      <c r="R96" s="74"/>
      <c r="S96" s="74"/>
      <c r="T96" s="74"/>
      <c r="U96" s="74"/>
      <c r="V96" s="74"/>
      <c r="W96" s="74"/>
      <c r="X96" s="74"/>
      <c r="Y96" s="75"/>
      <c r="Z96" s="73"/>
      <c r="AA96" s="74"/>
      <c r="AB96" s="74"/>
      <c r="AC96" s="74"/>
      <c r="AD96" s="74"/>
      <c r="AE96" s="74"/>
      <c r="AF96" s="74"/>
      <c r="AG96" s="74"/>
      <c r="AH96" s="74"/>
      <c r="AI96" s="74"/>
      <c r="AJ96" s="74"/>
      <c r="AK96" s="74"/>
      <c r="AL96" s="74"/>
      <c r="AM96" s="74"/>
      <c r="AN96" s="74"/>
      <c r="AO96" s="74"/>
      <c r="AP96" s="74"/>
      <c r="AQ96" s="74"/>
      <c r="AR96" s="74"/>
      <c r="AS96" s="75"/>
      <c r="AT96" s="73"/>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5"/>
    </row>
    <row r="97" spans="1:73" ht="15.75" customHeight="1" x14ac:dyDescent="0.15">
      <c r="A97" s="7"/>
      <c r="B97" s="97">
        <v>33</v>
      </c>
      <c r="C97" s="145" t="str">
        <f>IF('INPUT DATA'!Q42="","",'INPUT DATA'!Q42)</f>
        <v/>
      </c>
      <c r="D97" s="139"/>
      <c r="E97" s="146"/>
      <c r="F97" s="147" t="str">
        <f>IF('INPUT DATA'!R42="","",'INPUT DATA'!R42)</f>
        <v/>
      </c>
      <c r="G97" s="146"/>
      <c r="H97" s="96" t="str">
        <f>IF('INPUT DATA'!S42="","",'INPUT DATA'!S42)</f>
        <v/>
      </c>
      <c r="I97" s="71" t="str">
        <f t="shared" si="4"/>
        <v/>
      </c>
      <c r="J97" s="71" t="str">
        <f t="shared" si="5"/>
        <v/>
      </c>
      <c r="K97" s="71" t="str">
        <f t="shared" si="6"/>
        <v/>
      </c>
      <c r="L97" s="71" t="str">
        <f t="shared" si="7"/>
        <v/>
      </c>
      <c r="M97" s="78" t="s">
        <v>51</v>
      </c>
      <c r="N97" s="73"/>
      <c r="O97" s="74"/>
      <c r="P97" s="74"/>
      <c r="Q97" s="74"/>
      <c r="R97" s="74"/>
      <c r="S97" s="74"/>
      <c r="T97" s="74"/>
      <c r="U97" s="74"/>
      <c r="V97" s="74"/>
      <c r="W97" s="74"/>
      <c r="X97" s="74"/>
      <c r="Y97" s="75"/>
      <c r="Z97" s="73"/>
      <c r="AA97" s="74"/>
      <c r="AB97" s="74"/>
      <c r="AC97" s="74"/>
      <c r="AD97" s="74"/>
      <c r="AE97" s="74"/>
      <c r="AF97" s="74"/>
      <c r="AG97" s="74"/>
      <c r="AH97" s="74"/>
      <c r="AI97" s="74"/>
      <c r="AJ97" s="74"/>
      <c r="AK97" s="74"/>
      <c r="AL97" s="74"/>
      <c r="AM97" s="74"/>
      <c r="AN97" s="74"/>
      <c r="AO97" s="74"/>
      <c r="AP97" s="74"/>
      <c r="AQ97" s="74"/>
      <c r="AR97" s="74"/>
      <c r="AS97" s="75"/>
      <c r="AT97" s="73"/>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5"/>
    </row>
    <row r="98" spans="1:73" ht="15.75" customHeight="1" x14ac:dyDescent="0.15">
      <c r="A98" s="7"/>
      <c r="B98" s="97">
        <v>34</v>
      </c>
      <c r="C98" s="145" t="str">
        <f>IF('INPUT DATA'!Q43="","",'INPUT DATA'!Q43)</f>
        <v/>
      </c>
      <c r="D98" s="139"/>
      <c r="E98" s="146"/>
      <c r="F98" s="147" t="str">
        <f>IF('INPUT DATA'!R43="","",'INPUT DATA'!R43)</f>
        <v/>
      </c>
      <c r="G98" s="146"/>
      <c r="H98" s="96" t="str">
        <f>IF('INPUT DATA'!S43="","",'INPUT DATA'!S43)</f>
        <v/>
      </c>
      <c r="I98" s="71" t="str">
        <f t="shared" si="4"/>
        <v/>
      </c>
      <c r="J98" s="71" t="str">
        <f t="shared" si="5"/>
        <v/>
      </c>
      <c r="K98" s="71" t="str">
        <f t="shared" si="6"/>
        <v/>
      </c>
      <c r="L98" s="71" t="str">
        <f t="shared" si="7"/>
        <v/>
      </c>
      <c r="M98" s="78" t="s">
        <v>51</v>
      </c>
      <c r="N98" s="73"/>
      <c r="O98" s="74"/>
      <c r="P98" s="74"/>
      <c r="Q98" s="74"/>
      <c r="R98" s="74"/>
      <c r="S98" s="74"/>
      <c r="T98" s="74"/>
      <c r="U98" s="74"/>
      <c r="V98" s="74"/>
      <c r="W98" s="74"/>
      <c r="X98" s="74"/>
      <c r="Y98" s="75"/>
      <c r="Z98" s="73"/>
      <c r="AA98" s="74"/>
      <c r="AB98" s="74"/>
      <c r="AC98" s="74"/>
      <c r="AD98" s="74"/>
      <c r="AE98" s="74"/>
      <c r="AF98" s="74"/>
      <c r="AG98" s="74"/>
      <c r="AH98" s="74"/>
      <c r="AI98" s="74"/>
      <c r="AJ98" s="74"/>
      <c r="AK98" s="74"/>
      <c r="AL98" s="74"/>
      <c r="AM98" s="74"/>
      <c r="AN98" s="74"/>
      <c r="AO98" s="74"/>
      <c r="AP98" s="74"/>
      <c r="AQ98" s="74"/>
      <c r="AR98" s="74"/>
      <c r="AS98" s="75"/>
      <c r="AT98" s="73"/>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5"/>
    </row>
    <row r="99" spans="1:73" ht="15.75" customHeight="1" x14ac:dyDescent="0.15">
      <c r="A99" s="7"/>
      <c r="B99" s="97">
        <v>35</v>
      </c>
      <c r="C99" s="145" t="str">
        <f>IF('INPUT DATA'!Q44="","",'INPUT DATA'!Q44)</f>
        <v/>
      </c>
      <c r="D99" s="139"/>
      <c r="E99" s="146"/>
      <c r="F99" s="147" t="str">
        <f>IF('INPUT DATA'!R44="","",'INPUT DATA'!R44)</f>
        <v/>
      </c>
      <c r="G99" s="146"/>
      <c r="H99" s="96" t="str">
        <f>IF('INPUT DATA'!S44="","",'INPUT DATA'!S44)</f>
        <v/>
      </c>
      <c r="I99" s="71" t="str">
        <f t="shared" si="4"/>
        <v/>
      </c>
      <c r="J99" s="71" t="str">
        <f t="shared" si="5"/>
        <v/>
      </c>
      <c r="K99" s="71" t="str">
        <f t="shared" si="6"/>
        <v/>
      </c>
      <c r="L99" s="71" t="str">
        <f t="shared" si="7"/>
        <v/>
      </c>
      <c r="M99" s="78" t="s">
        <v>51</v>
      </c>
      <c r="N99" s="73"/>
      <c r="O99" s="74"/>
      <c r="P99" s="74"/>
      <c r="Q99" s="74"/>
      <c r="R99" s="74"/>
      <c r="S99" s="74"/>
      <c r="T99" s="74"/>
      <c r="U99" s="74"/>
      <c r="V99" s="74"/>
      <c r="W99" s="74"/>
      <c r="X99" s="74"/>
      <c r="Y99" s="75"/>
      <c r="Z99" s="73"/>
      <c r="AA99" s="74"/>
      <c r="AB99" s="74"/>
      <c r="AC99" s="74"/>
      <c r="AD99" s="74"/>
      <c r="AE99" s="74"/>
      <c r="AF99" s="74"/>
      <c r="AG99" s="74"/>
      <c r="AH99" s="74"/>
      <c r="AI99" s="74"/>
      <c r="AJ99" s="74"/>
      <c r="AK99" s="74"/>
      <c r="AL99" s="74"/>
      <c r="AM99" s="74"/>
      <c r="AN99" s="74"/>
      <c r="AO99" s="74"/>
      <c r="AP99" s="74"/>
      <c r="AQ99" s="74"/>
      <c r="AR99" s="74"/>
      <c r="AS99" s="75"/>
      <c r="AT99" s="73"/>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5"/>
    </row>
    <row r="100" spans="1:73" ht="15.75" customHeight="1" x14ac:dyDescent="0.15">
      <c r="A100" s="7"/>
      <c r="B100" s="97">
        <v>36</v>
      </c>
      <c r="C100" s="145" t="str">
        <f>IF('INPUT DATA'!Q45="","",'INPUT DATA'!Q45)</f>
        <v/>
      </c>
      <c r="D100" s="139"/>
      <c r="E100" s="146"/>
      <c r="F100" s="147" t="str">
        <f>IF('INPUT DATA'!R45="","",'INPUT DATA'!R45)</f>
        <v/>
      </c>
      <c r="G100" s="146"/>
      <c r="H100" s="96" t="str">
        <f>IF('INPUT DATA'!S45="","",'INPUT DATA'!S45)</f>
        <v/>
      </c>
      <c r="I100" s="71" t="str">
        <f t="shared" si="4"/>
        <v/>
      </c>
      <c r="J100" s="71" t="str">
        <f t="shared" si="5"/>
        <v/>
      </c>
      <c r="K100" s="71" t="str">
        <f t="shared" si="6"/>
        <v/>
      </c>
      <c r="L100" s="71" t="str">
        <f t="shared" si="7"/>
        <v/>
      </c>
      <c r="M100" s="78" t="s">
        <v>51</v>
      </c>
      <c r="N100" s="73"/>
      <c r="O100" s="74"/>
      <c r="P100" s="74"/>
      <c r="Q100" s="74"/>
      <c r="R100" s="74"/>
      <c r="S100" s="74"/>
      <c r="T100" s="74"/>
      <c r="U100" s="74"/>
      <c r="V100" s="74"/>
      <c r="W100" s="74"/>
      <c r="X100" s="74"/>
      <c r="Y100" s="75"/>
      <c r="Z100" s="73"/>
      <c r="AA100" s="74"/>
      <c r="AB100" s="74"/>
      <c r="AC100" s="74"/>
      <c r="AD100" s="74"/>
      <c r="AE100" s="74"/>
      <c r="AF100" s="74"/>
      <c r="AG100" s="74"/>
      <c r="AH100" s="74"/>
      <c r="AI100" s="74"/>
      <c r="AJ100" s="74"/>
      <c r="AK100" s="74"/>
      <c r="AL100" s="74"/>
      <c r="AM100" s="74"/>
      <c r="AN100" s="74"/>
      <c r="AO100" s="74"/>
      <c r="AP100" s="74"/>
      <c r="AQ100" s="74"/>
      <c r="AR100" s="74"/>
      <c r="AS100" s="75"/>
      <c r="AT100" s="73"/>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5"/>
    </row>
    <row r="101" spans="1:73" ht="15.75" customHeight="1" x14ac:dyDescent="0.15">
      <c r="A101" s="7"/>
      <c r="B101" s="97">
        <v>37</v>
      </c>
      <c r="C101" s="145" t="str">
        <f>IF('INPUT DATA'!Q46="","",'INPUT DATA'!Q46)</f>
        <v/>
      </c>
      <c r="D101" s="139"/>
      <c r="E101" s="146"/>
      <c r="F101" s="147" t="str">
        <f>IF('INPUT DATA'!R46="","",'INPUT DATA'!R46)</f>
        <v/>
      </c>
      <c r="G101" s="146"/>
      <c r="H101" s="96" t="str">
        <f>IF('INPUT DATA'!S46="","",'INPUT DATA'!S46)</f>
        <v/>
      </c>
      <c r="I101" s="71" t="str">
        <f t="shared" si="4"/>
        <v/>
      </c>
      <c r="J101" s="71" t="str">
        <f t="shared" si="5"/>
        <v/>
      </c>
      <c r="K101" s="71" t="str">
        <f t="shared" si="6"/>
        <v/>
      </c>
      <c r="L101" s="71" t="str">
        <f t="shared" si="7"/>
        <v/>
      </c>
      <c r="M101" s="78" t="s">
        <v>51</v>
      </c>
      <c r="N101" s="73"/>
      <c r="O101" s="74"/>
      <c r="P101" s="74"/>
      <c r="Q101" s="74"/>
      <c r="R101" s="74"/>
      <c r="S101" s="74"/>
      <c r="T101" s="74"/>
      <c r="U101" s="74"/>
      <c r="V101" s="74"/>
      <c r="W101" s="74"/>
      <c r="X101" s="74"/>
      <c r="Y101" s="75"/>
      <c r="Z101" s="73"/>
      <c r="AA101" s="74"/>
      <c r="AB101" s="74"/>
      <c r="AC101" s="74"/>
      <c r="AD101" s="74"/>
      <c r="AE101" s="74"/>
      <c r="AF101" s="74"/>
      <c r="AG101" s="74"/>
      <c r="AH101" s="74"/>
      <c r="AI101" s="74"/>
      <c r="AJ101" s="74"/>
      <c r="AK101" s="74"/>
      <c r="AL101" s="74"/>
      <c r="AM101" s="74"/>
      <c r="AN101" s="74"/>
      <c r="AO101" s="74"/>
      <c r="AP101" s="74"/>
      <c r="AQ101" s="74"/>
      <c r="AR101" s="74"/>
      <c r="AS101" s="75"/>
      <c r="AT101" s="73"/>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5"/>
    </row>
    <row r="102" spans="1:73" ht="15.75" customHeight="1" x14ac:dyDescent="0.15">
      <c r="A102" s="7"/>
      <c r="B102" s="97">
        <v>38</v>
      </c>
      <c r="C102" s="145" t="str">
        <f>IF('INPUT DATA'!Q47="","",'INPUT DATA'!Q47)</f>
        <v/>
      </c>
      <c r="D102" s="139"/>
      <c r="E102" s="146"/>
      <c r="F102" s="147" t="str">
        <f>IF('INPUT DATA'!R47="","",'INPUT DATA'!R47)</f>
        <v/>
      </c>
      <c r="G102" s="146"/>
      <c r="H102" s="96" t="str">
        <f>IF('INPUT DATA'!S47="","",'INPUT DATA'!S47)</f>
        <v/>
      </c>
      <c r="I102" s="71" t="str">
        <f t="shared" si="4"/>
        <v/>
      </c>
      <c r="J102" s="71" t="str">
        <f t="shared" si="5"/>
        <v/>
      </c>
      <c r="K102" s="71" t="str">
        <f t="shared" si="6"/>
        <v/>
      </c>
      <c r="L102" s="71" t="str">
        <f t="shared" si="7"/>
        <v/>
      </c>
      <c r="M102" s="78" t="s">
        <v>51</v>
      </c>
      <c r="N102" s="73"/>
      <c r="O102" s="74"/>
      <c r="P102" s="74"/>
      <c r="Q102" s="74"/>
      <c r="R102" s="74"/>
      <c r="S102" s="74"/>
      <c r="T102" s="74"/>
      <c r="U102" s="74"/>
      <c r="V102" s="74"/>
      <c r="W102" s="74"/>
      <c r="X102" s="74"/>
      <c r="Y102" s="75"/>
      <c r="Z102" s="73"/>
      <c r="AA102" s="74"/>
      <c r="AB102" s="74"/>
      <c r="AC102" s="74"/>
      <c r="AD102" s="74"/>
      <c r="AE102" s="74"/>
      <c r="AF102" s="74"/>
      <c r="AG102" s="74"/>
      <c r="AH102" s="74"/>
      <c r="AI102" s="74"/>
      <c r="AJ102" s="74"/>
      <c r="AK102" s="74"/>
      <c r="AL102" s="74"/>
      <c r="AM102" s="74"/>
      <c r="AN102" s="74"/>
      <c r="AO102" s="74"/>
      <c r="AP102" s="74"/>
      <c r="AQ102" s="74"/>
      <c r="AR102" s="74"/>
      <c r="AS102" s="75"/>
      <c r="AT102" s="73"/>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5"/>
    </row>
    <row r="103" spans="1:73" ht="15.75" customHeight="1" x14ac:dyDescent="0.15">
      <c r="A103" s="7"/>
      <c r="B103" s="97">
        <v>39</v>
      </c>
      <c r="C103" s="145" t="str">
        <f>IF('INPUT DATA'!Q48="","",'INPUT DATA'!Q48)</f>
        <v/>
      </c>
      <c r="D103" s="139"/>
      <c r="E103" s="146"/>
      <c r="F103" s="147" t="str">
        <f>IF('INPUT DATA'!R48="","",'INPUT DATA'!R48)</f>
        <v/>
      </c>
      <c r="G103" s="146"/>
      <c r="H103" s="96" t="str">
        <f>IF('INPUT DATA'!S48="","",'INPUT DATA'!S48)</f>
        <v/>
      </c>
      <c r="I103" s="71" t="str">
        <f t="shared" si="4"/>
        <v/>
      </c>
      <c r="J103" s="71" t="str">
        <f t="shared" si="5"/>
        <v/>
      </c>
      <c r="K103" s="71" t="str">
        <f t="shared" si="6"/>
        <v/>
      </c>
      <c r="L103" s="71" t="str">
        <f t="shared" si="7"/>
        <v/>
      </c>
      <c r="M103" s="78" t="s">
        <v>51</v>
      </c>
      <c r="N103" s="73"/>
      <c r="O103" s="74"/>
      <c r="P103" s="74"/>
      <c r="Q103" s="74"/>
      <c r="R103" s="74"/>
      <c r="S103" s="74"/>
      <c r="T103" s="74"/>
      <c r="U103" s="74"/>
      <c r="V103" s="74"/>
      <c r="W103" s="74"/>
      <c r="X103" s="74"/>
      <c r="Y103" s="75"/>
      <c r="Z103" s="73"/>
      <c r="AA103" s="74"/>
      <c r="AB103" s="74"/>
      <c r="AC103" s="74"/>
      <c r="AD103" s="74"/>
      <c r="AE103" s="74"/>
      <c r="AF103" s="74"/>
      <c r="AG103" s="74"/>
      <c r="AH103" s="74"/>
      <c r="AI103" s="74"/>
      <c r="AJ103" s="74"/>
      <c r="AK103" s="74"/>
      <c r="AL103" s="74"/>
      <c r="AM103" s="74"/>
      <c r="AN103" s="74"/>
      <c r="AO103" s="74"/>
      <c r="AP103" s="74"/>
      <c r="AQ103" s="74"/>
      <c r="AR103" s="74"/>
      <c r="AS103" s="75"/>
      <c r="AT103" s="73"/>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5"/>
    </row>
    <row r="104" spans="1:73" ht="15.75" customHeight="1" x14ac:dyDescent="0.15">
      <c r="A104" s="7"/>
      <c r="B104" s="97">
        <v>40</v>
      </c>
      <c r="C104" s="145" t="str">
        <f>IF('INPUT DATA'!Q49="","",'INPUT DATA'!Q49)</f>
        <v/>
      </c>
      <c r="D104" s="139"/>
      <c r="E104" s="146"/>
      <c r="F104" s="147" t="str">
        <f>IF('INPUT DATA'!R49="","",'INPUT DATA'!R49)</f>
        <v/>
      </c>
      <c r="G104" s="146"/>
      <c r="H104" s="96" t="str">
        <f>IF('INPUT DATA'!S49="","",'INPUT DATA'!S49)</f>
        <v/>
      </c>
      <c r="I104" s="71" t="str">
        <f t="shared" si="4"/>
        <v/>
      </c>
      <c r="J104" s="71" t="str">
        <f t="shared" si="5"/>
        <v/>
      </c>
      <c r="K104" s="71" t="str">
        <f t="shared" si="6"/>
        <v/>
      </c>
      <c r="L104" s="71" t="str">
        <f t="shared" si="7"/>
        <v/>
      </c>
      <c r="M104" s="78" t="s">
        <v>51</v>
      </c>
      <c r="N104" s="73"/>
      <c r="O104" s="74"/>
      <c r="P104" s="74"/>
      <c r="Q104" s="74"/>
      <c r="R104" s="74"/>
      <c r="S104" s="74"/>
      <c r="T104" s="74"/>
      <c r="U104" s="74"/>
      <c r="V104" s="74"/>
      <c r="W104" s="74"/>
      <c r="X104" s="74"/>
      <c r="Y104" s="75"/>
      <c r="Z104" s="73"/>
      <c r="AA104" s="74"/>
      <c r="AB104" s="74"/>
      <c r="AC104" s="74"/>
      <c r="AD104" s="74"/>
      <c r="AE104" s="74"/>
      <c r="AF104" s="74"/>
      <c r="AG104" s="74"/>
      <c r="AH104" s="74"/>
      <c r="AI104" s="74"/>
      <c r="AJ104" s="74"/>
      <c r="AK104" s="74"/>
      <c r="AL104" s="74"/>
      <c r="AM104" s="74"/>
      <c r="AN104" s="74"/>
      <c r="AO104" s="74"/>
      <c r="AP104" s="74"/>
      <c r="AQ104" s="74"/>
      <c r="AR104" s="74"/>
      <c r="AS104" s="75"/>
      <c r="AT104" s="73"/>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5"/>
    </row>
    <row r="105" spans="1:73" ht="15.75" customHeight="1" x14ac:dyDescent="0.15">
      <c r="A105" s="7"/>
      <c r="B105" s="97">
        <v>41</v>
      </c>
      <c r="C105" s="145" t="str">
        <f>IF('INPUT DATA'!Q50="","",'INPUT DATA'!Q50)</f>
        <v/>
      </c>
      <c r="D105" s="139"/>
      <c r="E105" s="146"/>
      <c r="F105" s="147" t="str">
        <f>IF('INPUT DATA'!R50="","",'INPUT DATA'!R50)</f>
        <v/>
      </c>
      <c r="G105" s="146"/>
      <c r="H105" s="96" t="str">
        <f>IF('INPUT DATA'!S50="","",'INPUT DATA'!S50)</f>
        <v/>
      </c>
      <c r="I105" s="71" t="str">
        <f t="shared" si="4"/>
        <v/>
      </c>
      <c r="J105" s="71" t="str">
        <f t="shared" si="5"/>
        <v/>
      </c>
      <c r="K105" s="71" t="str">
        <f t="shared" si="6"/>
        <v/>
      </c>
      <c r="L105" s="71" t="str">
        <f t="shared" si="7"/>
        <v/>
      </c>
      <c r="M105" s="78" t="s">
        <v>51</v>
      </c>
      <c r="N105" s="73"/>
      <c r="O105" s="74"/>
      <c r="P105" s="74"/>
      <c r="Q105" s="74"/>
      <c r="R105" s="74"/>
      <c r="S105" s="74"/>
      <c r="T105" s="74"/>
      <c r="U105" s="74"/>
      <c r="V105" s="74"/>
      <c r="W105" s="74"/>
      <c r="X105" s="74"/>
      <c r="Y105" s="75"/>
      <c r="Z105" s="73"/>
      <c r="AA105" s="74"/>
      <c r="AB105" s="74"/>
      <c r="AC105" s="74"/>
      <c r="AD105" s="74"/>
      <c r="AE105" s="74"/>
      <c r="AF105" s="74"/>
      <c r="AG105" s="74"/>
      <c r="AH105" s="74"/>
      <c r="AI105" s="74"/>
      <c r="AJ105" s="74"/>
      <c r="AK105" s="74"/>
      <c r="AL105" s="74"/>
      <c r="AM105" s="74"/>
      <c r="AN105" s="74"/>
      <c r="AO105" s="74"/>
      <c r="AP105" s="74"/>
      <c r="AQ105" s="74"/>
      <c r="AR105" s="74"/>
      <c r="AS105" s="75"/>
      <c r="AT105" s="73"/>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5"/>
    </row>
    <row r="106" spans="1:73" ht="15.75" customHeight="1" x14ac:dyDescent="0.15">
      <c r="A106" s="7"/>
      <c r="B106" s="97">
        <v>42</v>
      </c>
      <c r="C106" s="145" t="str">
        <f>IF('INPUT DATA'!Q51="","",'INPUT DATA'!Q51)</f>
        <v/>
      </c>
      <c r="D106" s="139"/>
      <c r="E106" s="146"/>
      <c r="F106" s="147" t="str">
        <f>IF('INPUT DATA'!R51="","",'INPUT DATA'!R51)</f>
        <v/>
      </c>
      <c r="G106" s="146"/>
      <c r="H106" s="96" t="str">
        <f>IF('INPUT DATA'!S51="","",'INPUT DATA'!S51)</f>
        <v/>
      </c>
      <c r="I106" s="71" t="str">
        <f t="shared" si="4"/>
        <v/>
      </c>
      <c r="J106" s="71" t="str">
        <f t="shared" si="5"/>
        <v/>
      </c>
      <c r="K106" s="71" t="str">
        <f t="shared" si="6"/>
        <v/>
      </c>
      <c r="L106" s="71" t="str">
        <f t="shared" si="7"/>
        <v/>
      </c>
      <c r="M106" s="78" t="s">
        <v>51</v>
      </c>
      <c r="N106" s="73"/>
      <c r="O106" s="74"/>
      <c r="P106" s="74"/>
      <c r="Q106" s="74"/>
      <c r="R106" s="74"/>
      <c r="S106" s="74"/>
      <c r="T106" s="74"/>
      <c r="U106" s="74"/>
      <c r="V106" s="74"/>
      <c r="W106" s="74"/>
      <c r="X106" s="74"/>
      <c r="Y106" s="75"/>
      <c r="Z106" s="73"/>
      <c r="AA106" s="74"/>
      <c r="AB106" s="74"/>
      <c r="AC106" s="74"/>
      <c r="AD106" s="74"/>
      <c r="AE106" s="74"/>
      <c r="AF106" s="74"/>
      <c r="AG106" s="74"/>
      <c r="AH106" s="74"/>
      <c r="AI106" s="74"/>
      <c r="AJ106" s="74"/>
      <c r="AK106" s="74"/>
      <c r="AL106" s="74"/>
      <c r="AM106" s="74"/>
      <c r="AN106" s="74"/>
      <c r="AO106" s="74"/>
      <c r="AP106" s="74"/>
      <c r="AQ106" s="74"/>
      <c r="AR106" s="74"/>
      <c r="AS106" s="75"/>
      <c r="AT106" s="73"/>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5"/>
    </row>
    <row r="107" spans="1:73" ht="15.75" customHeight="1" x14ac:dyDescent="0.15">
      <c r="A107" s="7"/>
      <c r="B107" s="97">
        <v>43</v>
      </c>
      <c r="C107" s="145" t="str">
        <f>IF('INPUT DATA'!Q52="","",'INPUT DATA'!Q52)</f>
        <v/>
      </c>
      <c r="D107" s="139"/>
      <c r="E107" s="146"/>
      <c r="F107" s="147" t="str">
        <f>IF('INPUT DATA'!R52="","",'INPUT DATA'!R52)</f>
        <v/>
      </c>
      <c r="G107" s="146"/>
      <c r="H107" s="96" t="str">
        <f>IF('INPUT DATA'!S52="","",'INPUT DATA'!S52)</f>
        <v/>
      </c>
      <c r="I107" s="71" t="str">
        <f t="shared" si="4"/>
        <v/>
      </c>
      <c r="J107" s="71" t="str">
        <f t="shared" si="5"/>
        <v/>
      </c>
      <c r="K107" s="71" t="str">
        <f t="shared" si="6"/>
        <v/>
      </c>
      <c r="L107" s="71" t="str">
        <f t="shared" si="7"/>
        <v/>
      </c>
      <c r="M107" s="78" t="s">
        <v>51</v>
      </c>
      <c r="N107" s="73"/>
      <c r="O107" s="74"/>
      <c r="P107" s="74"/>
      <c r="Q107" s="74"/>
      <c r="R107" s="74"/>
      <c r="S107" s="74"/>
      <c r="T107" s="74"/>
      <c r="U107" s="74"/>
      <c r="V107" s="74"/>
      <c r="W107" s="74"/>
      <c r="X107" s="74"/>
      <c r="Y107" s="75"/>
      <c r="Z107" s="73"/>
      <c r="AA107" s="74"/>
      <c r="AB107" s="74"/>
      <c r="AC107" s="74"/>
      <c r="AD107" s="74"/>
      <c r="AE107" s="74"/>
      <c r="AF107" s="74"/>
      <c r="AG107" s="74"/>
      <c r="AH107" s="74"/>
      <c r="AI107" s="74"/>
      <c r="AJ107" s="74"/>
      <c r="AK107" s="74"/>
      <c r="AL107" s="74"/>
      <c r="AM107" s="74"/>
      <c r="AN107" s="74"/>
      <c r="AO107" s="74"/>
      <c r="AP107" s="74"/>
      <c r="AQ107" s="74"/>
      <c r="AR107" s="74"/>
      <c r="AS107" s="75"/>
      <c r="AT107" s="73"/>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5"/>
    </row>
    <row r="108" spans="1:73" ht="15.75" customHeight="1" x14ac:dyDescent="0.15">
      <c r="A108" s="7"/>
      <c r="B108" s="97">
        <v>44</v>
      </c>
      <c r="C108" s="145" t="str">
        <f>IF('INPUT DATA'!Q53="","",'INPUT DATA'!Q53)</f>
        <v/>
      </c>
      <c r="D108" s="139"/>
      <c r="E108" s="146"/>
      <c r="F108" s="147" t="str">
        <f>IF('INPUT DATA'!R53="","",'INPUT DATA'!R53)</f>
        <v/>
      </c>
      <c r="G108" s="146"/>
      <c r="H108" s="96" t="str">
        <f>IF('INPUT DATA'!S53="","",'INPUT DATA'!S53)</f>
        <v/>
      </c>
      <c r="I108" s="71" t="str">
        <f t="shared" si="4"/>
        <v/>
      </c>
      <c r="J108" s="71" t="str">
        <f t="shared" si="5"/>
        <v/>
      </c>
      <c r="K108" s="71" t="str">
        <f t="shared" si="6"/>
        <v/>
      </c>
      <c r="L108" s="71" t="str">
        <f t="shared" si="7"/>
        <v/>
      </c>
      <c r="M108" s="78" t="s">
        <v>51</v>
      </c>
      <c r="N108" s="73"/>
      <c r="O108" s="74"/>
      <c r="P108" s="74"/>
      <c r="Q108" s="74"/>
      <c r="R108" s="74"/>
      <c r="S108" s="74"/>
      <c r="T108" s="74"/>
      <c r="U108" s="74"/>
      <c r="V108" s="74"/>
      <c r="W108" s="74"/>
      <c r="X108" s="74"/>
      <c r="Y108" s="75"/>
      <c r="Z108" s="73"/>
      <c r="AA108" s="74"/>
      <c r="AB108" s="74"/>
      <c r="AC108" s="74"/>
      <c r="AD108" s="74"/>
      <c r="AE108" s="74"/>
      <c r="AF108" s="74"/>
      <c r="AG108" s="74"/>
      <c r="AH108" s="74"/>
      <c r="AI108" s="74"/>
      <c r="AJ108" s="74"/>
      <c r="AK108" s="74"/>
      <c r="AL108" s="74"/>
      <c r="AM108" s="74"/>
      <c r="AN108" s="74"/>
      <c r="AO108" s="74"/>
      <c r="AP108" s="74"/>
      <c r="AQ108" s="74"/>
      <c r="AR108" s="74"/>
      <c r="AS108" s="75"/>
      <c r="AT108" s="73"/>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5"/>
    </row>
    <row r="109" spans="1:73" ht="15.75" customHeight="1" x14ac:dyDescent="0.15">
      <c r="A109" s="7"/>
      <c r="B109" s="97">
        <v>45</v>
      </c>
      <c r="C109" s="145" t="str">
        <f>IF('INPUT DATA'!Q54="","",'INPUT DATA'!Q54)</f>
        <v/>
      </c>
      <c r="D109" s="139"/>
      <c r="E109" s="146"/>
      <c r="F109" s="147" t="str">
        <f>IF('INPUT DATA'!R54="","",'INPUT DATA'!R54)</f>
        <v/>
      </c>
      <c r="G109" s="146"/>
      <c r="H109" s="96" t="str">
        <f>IF('INPUT DATA'!S54="","",'INPUT DATA'!S54)</f>
        <v/>
      </c>
      <c r="I109" s="71" t="str">
        <f t="shared" si="4"/>
        <v/>
      </c>
      <c r="J109" s="71" t="str">
        <f t="shared" si="5"/>
        <v/>
      </c>
      <c r="K109" s="71" t="str">
        <f t="shared" si="6"/>
        <v/>
      </c>
      <c r="L109" s="71" t="str">
        <f t="shared" si="7"/>
        <v/>
      </c>
      <c r="M109" s="78" t="s">
        <v>51</v>
      </c>
      <c r="N109" s="73"/>
      <c r="O109" s="74"/>
      <c r="P109" s="74"/>
      <c r="Q109" s="74"/>
      <c r="R109" s="74"/>
      <c r="S109" s="74"/>
      <c r="T109" s="74"/>
      <c r="U109" s="74"/>
      <c r="V109" s="74"/>
      <c r="W109" s="74"/>
      <c r="X109" s="74"/>
      <c r="Y109" s="75"/>
      <c r="Z109" s="73"/>
      <c r="AA109" s="74"/>
      <c r="AB109" s="74"/>
      <c r="AC109" s="74"/>
      <c r="AD109" s="74"/>
      <c r="AE109" s="74"/>
      <c r="AF109" s="74"/>
      <c r="AG109" s="74"/>
      <c r="AH109" s="74"/>
      <c r="AI109" s="74"/>
      <c r="AJ109" s="74"/>
      <c r="AK109" s="74"/>
      <c r="AL109" s="74"/>
      <c r="AM109" s="74"/>
      <c r="AN109" s="74"/>
      <c r="AO109" s="74"/>
      <c r="AP109" s="74"/>
      <c r="AQ109" s="74"/>
      <c r="AR109" s="74"/>
      <c r="AS109" s="75"/>
      <c r="AT109" s="73"/>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5"/>
    </row>
    <row r="110" spans="1:73" ht="15.75" customHeight="1" x14ac:dyDescent="0.15">
      <c r="A110" s="7"/>
      <c r="B110" s="97">
        <v>46</v>
      </c>
      <c r="C110" s="145" t="str">
        <f>IF('INPUT DATA'!Q55="","",'INPUT DATA'!Q55)</f>
        <v/>
      </c>
      <c r="D110" s="139"/>
      <c r="E110" s="146"/>
      <c r="F110" s="147" t="str">
        <f>IF('INPUT DATA'!R55="","",'INPUT DATA'!R55)</f>
        <v/>
      </c>
      <c r="G110" s="146"/>
      <c r="H110" s="96" t="str">
        <f>IF('INPUT DATA'!S55="","",'INPUT DATA'!S55)</f>
        <v/>
      </c>
      <c r="I110" s="71" t="str">
        <f t="shared" si="4"/>
        <v/>
      </c>
      <c r="J110" s="71" t="str">
        <f t="shared" si="5"/>
        <v/>
      </c>
      <c r="K110" s="71" t="str">
        <f t="shared" si="6"/>
        <v/>
      </c>
      <c r="L110" s="71" t="str">
        <f t="shared" si="7"/>
        <v/>
      </c>
      <c r="M110" s="78" t="s">
        <v>51</v>
      </c>
      <c r="N110" s="73"/>
      <c r="O110" s="74"/>
      <c r="P110" s="74"/>
      <c r="Q110" s="74"/>
      <c r="R110" s="74"/>
      <c r="S110" s="74"/>
      <c r="T110" s="74"/>
      <c r="U110" s="74"/>
      <c r="V110" s="74"/>
      <c r="W110" s="74"/>
      <c r="X110" s="74"/>
      <c r="Y110" s="75"/>
      <c r="Z110" s="73"/>
      <c r="AA110" s="74"/>
      <c r="AB110" s="74"/>
      <c r="AC110" s="74"/>
      <c r="AD110" s="74"/>
      <c r="AE110" s="74"/>
      <c r="AF110" s="74"/>
      <c r="AG110" s="74"/>
      <c r="AH110" s="74"/>
      <c r="AI110" s="74"/>
      <c r="AJ110" s="74"/>
      <c r="AK110" s="74"/>
      <c r="AL110" s="74"/>
      <c r="AM110" s="74"/>
      <c r="AN110" s="74"/>
      <c r="AO110" s="74"/>
      <c r="AP110" s="74"/>
      <c r="AQ110" s="74"/>
      <c r="AR110" s="74"/>
      <c r="AS110" s="75"/>
      <c r="AT110" s="73"/>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5"/>
    </row>
    <row r="111" spans="1:73" ht="15.75" customHeight="1" x14ac:dyDescent="0.15">
      <c r="A111" s="7"/>
      <c r="B111" s="97">
        <v>47</v>
      </c>
      <c r="C111" s="145" t="str">
        <f>IF('INPUT DATA'!Q56="","",'INPUT DATA'!Q56)</f>
        <v/>
      </c>
      <c r="D111" s="139"/>
      <c r="E111" s="146"/>
      <c r="F111" s="147" t="str">
        <f>IF('INPUT DATA'!R56="","",'INPUT DATA'!R56)</f>
        <v/>
      </c>
      <c r="G111" s="146"/>
      <c r="H111" s="96" t="str">
        <f>IF('INPUT DATA'!S56="","",'INPUT DATA'!S56)</f>
        <v/>
      </c>
      <c r="I111" s="71" t="str">
        <f t="shared" si="4"/>
        <v/>
      </c>
      <c r="J111" s="71" t="str">
        <f t="shared" si="5"/>
        <v/>
      </c>
      <c r="K111" s="71" t="str">
        <f t="shared" si="6"/>
        <v/>
      </c>
      <c r="L111" s="71" t="str">
        <f t="shared" si="7"/>
        <v/>
      </c>
      <c r="M111" s="78" t="s">
        <v>51</v>
      </c>
      <c r="N111" s="73"/>
      <c r="O111" s="74"/>
      <c r="P111" s="74"/>
      <c r="Q111" s="74"/>
      <c r="R111" s="74"/>
      <c r="S111" s="74"/>
      <c r="T111" s="74"/>
      <c r="U111" s="74"/>
      <c r="V111" s="74"/>
      <c r="W111" s="74"/>
      <c r="X111" s="74"/>
      <c r="Y111" s="75"/>
      <c r="Z111" s="73"/>
      <c r="AA111" s="74"/>
      <c r="AB111" s="74"/>
      <c r="AC111" s="74"/>
      <c r="AD111" s="74"/>
      <c r="AE111" s="74"/>
      <c r="AF111" s="74"/>
      <c r="AG111" s="74"/>
      <c r="AH111" s="74"/>
      <c r="AI111" s="74"/>
      <c r="AJ111" s="74"/>
      <c r="AK111" s="74"/>
      <c r="AL111" s="74"/>
      <c r="AM111" s="74"/>
      <c r="AN111" s="74"/>
      <c r="AO111" s="74"/>
      <c r="AP111" s="74"/>
      <c r="AQ111" s="74"/>
      <c r="AR111" s="74"/>
      <c r="AS111" s="75"/>
      <c r="AT111" s="73"/>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5"/>
    </row>
    <row r="112" spans="1:73" ht="15.75" customHeight="1" x14ac:dyDescent="0.15">
      <c r="A112" s="7"/>
      <c r="B112" s="97">
        <v>48</v>
      </c>
      <c r="C112" s="145" t="str">
        <f>IF('INPUT DATA'!Q57="","",'INPUT DATA'!Q57)</f>
        <v/>
      </c>
      <c r="D112" s="139"/>
      <c r="E112" s="146"/>
      <c r="F112" s="147" t="str">
        <f>IF('INPUT DATA'!R57="","",'INPUT DATA'!R57)</f>
        <v/>
      </c>
      <c r="G112" s="146"/>
      <c r="H112" s="96" t="str">
        <f>IF('INPUT DATA'!S57="","",'INPUT DATA'!S57)</f>
        <v/>
      </c>
      <c r="I112" s="71" t="str">
        <f t="shared" si="4"/>
        <v/>
      </c>
      <c r="J112" s="71" t="str">
        <f t="shared" si="5"/>
        <v/>
      </c>
      <c r="K112" s="71" t="str">
        <f t="shared" si="6"/>
        <v/>
      </c>
      <c r="L112" s="71" t="str">
        <f t="shared" si="7"/>
        <v/>
      </c>
      <c r="M112" s="78" t="s">
        <v>51</v>
      </c>
      <c r="N112" s="73"/>
      <c r="O112" s="74"/>
      <c r="P112" s="74"/>
      <c r="Q112" s="74"/>
      <c r="R112" s="74"/>
      <c r="S112" s="74"/>
      <c r="T112" s="74"/>
      <c r="U112" s="74"/>
      <c r="V112" s="74"/>
      <c r="W112" s="74"/>
      <c r="X112" s="74"/>
      <c r="Y112" s="75"/>
      <c r="Z112" s="73"/>
      <c r="AA112" s="74"/>
      <c r="AB112" s="74"/>
      <c r="AC112" s="74"/>
      <c r="AD112" s="74"/>
      <c r="AE112" s="74"/>
      <c r="AF112" s="74"/>
      <c r="AG112" s="74"/>
      <c r="AH112" s="74"/>
      <c r="AI112" s="74"/>
      <c r="AJ112" s="74"/>
      <c r="AK112" s="74"/>
      <c r="AL112" s="74"/>
      <c r="AM112" s="74"/>
      <c r="AN112" s="74"/>
      <c r="AO112" s="74"/>
      <c r="AP112" s="74"/>
      <c r="AQ112" s="74"/>
      <c r="AR112" s="74"/>
      <c r="AS112" s="75"/>
      <c r="AT112" s="73"/>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5"/>
    </row>
    <row r="113" spans="1:73" ht="15.75" customHeight="1" x14ac:dyDescent="0.15">
      <c r="A113" s="7"/>
      <c r="B113" s="97">
        <v>49</v>
      </c>
      <c r="C113" s="145" t="str">
        <f>IF('INPUT DATA'!Q58="","",'INPUT DATA'!Q58)</f>
        <v/>
      </c>
      <c r="D113" s="139"/>
      <c r="E113" s="146"/>
      <c r="F113" s="147" t="str">
        <f>IF('INPUT DATA'!R58="","",'INPUT DATA'!R58)</f>
        <v/>
      </c>
      <c r="G113" s="146"/>
      <c r="H113" s="96" t="str">
        <f>IF('INPUT DATA'!S58="","",'INPUT DATA'!S58)</f>
        <v/>
      </c>
      <c r="I113" s="71" t="str">
        <f t="shared" si="4"/>
        <v/>
      </c>
      <c r="J113" s="71" t="str">
        <f t="shared" si="5"/>
        <v/>
      </c>
      <c r="K113" s="71" t="str">
        <f t="shared" si="6"/>
        <v/>
      </c>
      <c r="L113" s="71" t="str">
        <f t="shared" si="7"/>
        <v/>
      </c>
      <c r="M113" s="78" t="s">
        <v>51</v>
      </c>
      <c r="N113" s="73"/>
      <c r="O113" s="74"/>
      <c r="P113" s="74"/>
      <c r="Q113" s="74"/>
      <c r="R113" s="74"/>
      <c r="S113" s="74"/>
      <c r="T113" s="74"/>
      <c r="U113" s="74"/>
      <c r="V113" s="74"/>
      <c r="W113" s="74"/>
      <c r="X113" s="74"/>
      <c r="Y113" s="75"/>
      <c r="Z113" s="73"/>
      <c r="AA113" s="74"/>
      <c r="AB113" s="74"/>
      <c r="AC113" s="74"/>
      <c r="AD113" s="74"/>
      <c r="AE113" s="74"/>
      <c r="AF113" s="74"/>
      <c r="AG113" s="74"/>
      <c r="AH113" s="74"/>
      <c r="AI113" s="74"/>
      <c r="AJ113" s="74"/>
      <c r="AK113" s="74"/>
      <c r="AL113" s="74"/>
      <c r="AM113" s="74"/>
      <c r="AN113" s="74"/>
      <c r="AO113" s="74"/>
      <c r="AP113" s="74"/>
      <c r="AQ113" s="74"/>
      <c r="AR113" s="74"/>
      <c r="AS113" s="75"/>
      <c r="AT113" s="73"/>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5"/>
    </row>
    <row r="114" spans="1:73" ht="15.75" customHeight="1" x14ac:dyDescent="0.15">
      <c r="A114" s="7"/>
      <c r="B114" s="102">
        <v>50</v>
      </c>
      <c r="C114" s="155" t="str">
        <f>IF('INPUT DATA'!Q59="","",'INPUT DATA'!Q59)</f>
        <v/>
      </c>
      <c r="D114" s="156"/>
      <c r="E114" s="157"/>
      <c r="F114" s="158" t="str">
        <f>IF('INPUT DATA'!R59="","",'INPUT DATA'!R59)</f>
        <v/>
      </c>
      <c r="G114" s="157"/>
      <c r="H114" s="103" t="str">
        <f>IF('INPUT DATA'!S59="","",'INPUT DATA'!S59)</f>
        <v/>
      </c>
      <c r="I114" s="98" t="str">
        <f t="shared" si="4"/>
        <v/>
      </c>
      <c r="J114" s="98" t="str">
        <f t="shared" si="5"/>
        <v/>
      </c>
      <c r="K114" s="98" t="str">
        <f t="shared" si="6"/>
        <v/>
      </c>
      <c r="L114" s="98" t="str">
        <f t="shared" si="7"/>
        <v/>
      </c>
      <c r="M114" s="104" t="s">
        <v>51</v>
      </c>
      <c r="N114" s="89"/>
      <c r="O114" s="90"/>
      <c r="P114" s="90"/>
      <c r="Q114" s="90"/>
      <c r="R114" s="90"/>
      <c r="S114" s="90"/>
      <c r="T114" s="90"/>
      <c r="U114" s="90"/>
      <c r="V114" s="90"/>
      <c r="W114" s="90"/>
      <c r="X114" s="90"/>
      <c r="Y114" s="91"/>
      <c r="Z114" s="89"/>
      <c r="AA114" s="90"/>
      <c r="AB114" s="90"/>
      <c r="AC114" s="90"/>
      <c r="AD114" s="90"/>
      <c r="AE114" s="90"/>
      <c r="AF114" s="90"/>
      <c r="AG114" s="90"/>
      <c r="AH114" s="90"/>
      <c r="AI114" s="90"/>
      <c r="AJ114" s="90"/>
      <c r="AK114" s="90"/>
      <c r="AL114" s="90"/>
      <c r="AM114" s="90"/>
      <c r="AN114" s="90"/>
      <c r="AO114" s="90"/>
      <c r="AP114" s="90"/>
      <c r="AQ114" s="90"/>
      <c r="AR114" s="90"/>
      <c r="AS114" s="91"/>
      <c r="AT114" s="89"/>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1"/>
    </row>
    <row r="115" spans="1:73" ht="15.75" customHeight="1" x14ac:dyDescent="0.15">
      <c r="A115" s="5"/>
      <c r="B115" s="5"/>
      <c r="C115" s="9"/>
      <c r="D115" s="7"/>
      <c r="E115" s="7"/>
      <c r="F115" s="7"/>
      <c r="G115" s="7"/>
      <c r="H115" s="7"/>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row>
    <row r="116" spans="1:73" ht="15.75" customHeight="1" x14ac:dyDescent="0.15">
      <c r="A116" s="5"/>
      <c r="B116" s="5"/>
      <c r="C116" s="9"/>
      <c r="D116" s="7"/>
      <c r="E116" s="7"/>
      <c r="F116" s="7"/>
      <c r="G116" s="7"/>
      <c r="H116" s="7"/>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row>
    <row r="117" spans="1:73" ht="15.75" customHeight="1" x14ac:dyDescent="0.15">
      <c r="A117" s="5"/>
      <c r="B117" s="5"/>
      <c r="C117" s="9"/>
      <c r="D117" s="7"/>
      <c r="E117" s="7"/>
      <c r="F117" s="7"/>
      <c r="G117" s="7"/>
      <c r="H117" s="7"/>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row>
    <row r="118" spans="1:73" ht="15.75" customHeight="1" x14ac:dyDescent="0.15">
      <c r="A118" s="5"/>
      <c r="B118" s="5"/>
      <c r="C118" s="9"/>
      <c r="D118" s="7"/>
      <c r="E118" s="7"/>
      <c r="F118" s="7"/>
      <c r="G118" s="7"/>
      <c r="H118" s="7"/>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row>
    <row r="119" spans="1:73" ht="15.75" customHeight="1" x14ac:dyDescent="0.15">
      <c r="A119" s="5"/>
      <c r="B119" s="5"/>
      <c r="C119" s="9"/>
      <c r="D119" s="7"/>
      <c r="E119" s="7"/>
      <c r="F119" s="7"/>
      <c r="G119" s="7"/>
      <c r="H119" s="7"/>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row>
    <row r="120" spans="1:73" ht="15.75" customHeight="1" x14ac:dyDescent="0.15">
      <c r="A120" s="5"/>
      <c r="B120" s="5"/>
      <c r="C120" s="9"/>
      <c r="D120" s="7"/>
      <c r="E120" s="7"/>
      <c r="F120" s="7"/>
      <c r="G120" s="7"/>
      <c r="H120" s="7"/>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row>
    <row r="121" spans="1:73" ht="15.75" customHeight="1" x14ac:dyDescent="0.15">
      <c r="A121" s="5"/>
      <c r="B121" s="5"/>
      <c r="C121" s="9"/>
      <c r="D121" s="7"/>
      <c r="E121" s="7"/>
      <c r="F121" s="7"/>
      <c r="G121" s="7"/>
      <c r="H121" s="7"/>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row>
    <row r="122" spans="1:73" ht="15.75" customHeight="1" x14ac:dyDescent="0.15">
      <c r="A122" s="5"/>
      <c r="B122" s="5"/>
      <c r="C122" s="9"/>
      <c r="D122" s="7"/>
      <c r="E122" s="7"/>
      <c r="F122" s="7"/>
      <c r="G122" s="7"/>
      <c r="H122" s="7"/>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row>
    <row r="123" spans="1:73" ht="15.75" customHeight="1" x14ac:dyDescent="0.15">
      <c r="A123" s="5"/>
      <c r="B123" s="5"/>
      <c r="C123" s="9"/>
      <c r="D123" s="7"/>
      <c r="E123" s="7"/>
      <c r="F123" s="7"/>
      <c r="G123" s="7"/>
      <c r="H123" s="7"/>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row>
    <row r="124" spans="1:73" ht="15.75" customHeight="1" x14ac:dyDescent="0.15"/>
    <row r="125" spans="1:73" ht="15.75" customHeight="1" x14ac:dyDescent="0.15"/>
    <row r="126" spans="1:73" ht="15.75" customHeight="1" x14ac:dyDescent="0.15"/>
    <row r="127" spans="1:73" ht="15.75" customHeight="1" x14ac:dyDescent="0.15"/>
    <row r="128" spans="1:73"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mergeCells count="288">
    <mergeCell ref="F56:G56"/>
    <mergeCell ref="C40:E40"/>
    <mergeCell ref="C41:E41"/>
    <mergeCell ref="C42:E42"/>
    <mergeCell ref="C43:E43"/>
    <mergeCell ref="B65:BU65"/>
    <mergeCell ref="F41:G41"/>
    <mergeCell ref="F42:G42"/>
    <mergeCell ref="F12:G14"/>
    <mergeCell ref="H12:H14"/>
    <mergeCell ref="I12:I14"/>
    <mergeCell ref="J12:J14"/>
    <mergeCell ref="K12:K14"/>
    <mergeCell ref="F17:G17"/>
    <mergeCell ref="F18:G18"/>
    <mergeCell ref="F19:G19"/>
    <mergeCell ref="F20:G20"/>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M9:M14"/>
    <mergeCell ref="B12:E14"/>
    <mergeCell ref="N9:Q9"/>
    <mergeCell ref="R9:AD9"/>
    <mergeCell ref="AE9:AG10"/>
    <mergeCell ref="AH9:BU10"/>
    <mergeCell ref="N10:Q10"/>
    <mergeCell ref="R10:AD10"/>
    <mergeCell ref="A1:V4"/>
    <mergeCell ref="E5:G5"/>
    <mergeCell ref="K5:M5"/>
    <mergeCell ref="E6:G6"/>
    <mergeCell ref="K6:M6"/>
    <mergeCell ref="T6:U6"/>
    <mergeCell ref="B9:H11"/>
    <mergeCell ref="I9:J11"/>
    <mergeCell ref="K9:L11"/>
    <mergeCell ref="BT13:BT14"/>
    <mergeCell ref="BU13:BU14"/>
    <mergeCell ref="BM13:BM14"/>
    <mergeCell ref="BN13:BN14"/>
    <mergeCell ref="BO13:BO14"/>
    <mergeCell ref="BP13:BP14"/>
    <mergeCell ref="BQ13:BQ14"/>
    <mergeCell ref="BR13:BR14"/>
    <mergeCell ref="BS13:BS14"/>
    <mergeCell ref="BJ13:BK13"/>
    <mergeCell ref="BL13:BL14"/>
    <mergeCell ref="AZ13:AZ14"/>
    <mergeCell ref="BA13:BA14"/>
    <mergeCell ref="BB13:BB14"/>
    <mergeCell ref="BC13:BC14"/>
    <mergeCell ref="BD13:BD14"/>
    <mergeCell ref="BE13:BE14"/>
    <mergeCell ref="BG13:BH13"/>
    <mergeCell ref="N11:R11"/>
    <mergeCell ref="S11:Y11"/>
    <mergeCell ref="Z11:AS11"/>
    <mergeCell ref="AT11:BU11"/>
    <mergeCell ref="AT12:AW12"/>
    <mergeCell ref="AX12:AY12"/>
    <mergeCell ref="AZ12:BE12"/>
    <mergeCell ref="BF12:BK12"/>
    <mergeCell ref="BL12:BM12"/>
    <mergeCell ref="BN12:BP12"/>
    <mergeCell ref="BQ12:BU12"/>
    <mergeCell ref="AQ12:AQ14"/>
    <mergeCell ref="AR12:AR14"/>
    <mergeCell ref="AJ12:AJ14"/>
    <mergeCell ref="AK12:AK14"/>
    <mergeCell ref="AL12:AL14"/>
    <mergeCell ref="AM12:AM14"/>
    <mergeCell ref="AN12:AN14"/>
    <mergeCell ref="AO12:AO14"/>
    <mergeCell ref="AP12:AP14"/>
    <mergeCell ref="AH12:AH14"/>
    <mergeCell ref="AI12:AI14"/>
    <mergeCell ref="AA12:AA14"/>
    <mergeCell ref="AB12:AB14"/>
    <mergeCell ref="AC12:AC14"/>
    <mergeCell ref="AD12:AD14"/>
    <mergeCell ref="AE12:AE14"/>
    <mergeCell ref="AF12:AF14"/>
    <mergeCell ref="AG12:AG14"/>
    <mergeCell ref="F24:G24"/>
    <mergeCell ref="F25:G25"/>
    <mergeCell ref="F26:G26"/>
    <mergeCell ref="F27:G27"/>
    <mergeCell ref="F28:G28"/>
    <mergeCell ref="C37:E37"/>
    <mergeCell ref="C38:E38"/>
    <mergeCell ref="C39:E39"/>
    <mergeCell ref="F37:G37"/>
    <mergeCell ref="F38:G38"/>
    <mergeCell ref="F39:G39"/>
    <mergeCell ref="C93:E93"/>
    <mergeCell ref="F93:G93"/>
    <mergeCell ref="F29:G29"/>
    <mergeCell ref="F30:G30"/>
    <mergeCell ref="F31:G31"/>
    <mergeCell ref="F32:G32"/>
    <mergeCell ref="F33:G33"/>
    <mergeCell ref="F34:G34"/>
    <mergeCell ref="F35:G35"/>
    <mergeCell ref="F36:G36"/>
    <mergeCell ref="F40:G40"/>
    <mergeCell ref="F43:G43"/>
    <mergeCell ref="F44:G44"/>
    <mergeCell ref="F45:G45"/>
    <mergeCell ref="F46:G46"/>
    <mergeCell ref="F47:G47"/>
    <mergeCell ref="F48:G48"/>
    <mergeCell ref="F49:G49"/>
    <mergeCell ref="F50:G50"/>
    <mergeCell ref="F51:G51"/>
    <mergeCell ref="F52:G52"/>
    <mergeCell ref="F53:G53"/>
    <mergeCell ref="F54:G54"/>
    <mergeCell ref="F55:G55"/>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 ref="C68:E68"/>
    <mergeCell ref="F68:G68"/>
    <mergeCell ref="F69:G69"/>
    <mergeCell ref="C69:E69"/>
    <mergeCell ref="C70:E70"/>
    <mergeCell ref="F70:G70"/>
    <mergeCell ref="C71:E71"/>
    <mergeCell ref="F71:G71"/>
    <mergeCell ref="C72:E72"/>
    <mergeCell ref="F72:G72"/>
    <mergeCell ref="C60:E60"/>
    <mergeCell ref="C61:E61"/>
    <mergeCell ref="C62:E62"/>
    <mergeCell ref="C63:E63"/>
    <mergeCell ref="C64:E64"/>
    <mergeCell ref="C66:E66"/>
    <mergeCell ref="F66:G66"/>
    <mergeCell ref="C67:E67"/>
    <mergeCell ref="F67:G67"/>
    <mergeCell ref="C113:E113"/>
    <mergeCell ref="F113:G113"/>
    <mergeCell ref="C114:E114"/>
    <mergeCell ref="F114:G114"/>
    <mergeCell ref="C108:E108"/>
    <mergeCell ref="F108:G108"/>
    <mergeCell ref="C109:E109"/>
    <mergeCell ref="F109:G109"/>
    <mergeCell ref="C110:E110"/>
    <mergeCell ref="F110:G110"/>
    <mergeCell ref="F111:G111"/>
    <mergeCell ref="C24:E24"/>
    <mergeCell ref="C25:E25"/>
    <mergeCell ref="C26:E26"/>
    <mergeCell ref="C27:E27"/>
    <mergeCell ref="C28:E28"/>
    <mergeCell ref="C29:E29"/>
    <mergeCell ref="C111:E111"/>
    <mergeCell ref="C112:E112"/>
    <mergeCell ref="F112:G112"/>
    <mergeCell ref="F60:G60"/>
    <mergeCell ref="F61:G61"/>
    <mergeCell ref="F62:G62"/>
    <mergeCell ref="F63:G63"/>
    <mergeCell ref="F64:G64"/>
    <mergeCell ref="C44:E44"/>
    <mergeCell ref="C45:E45"/>
    <mergeCell ref="C46:E46"/>
    <mergeCell ref="C47:E47"/>
    <mergeCell ref="C48:E48"/>
    <mergeCell ref="C49:E49"/>
    <mergeCell ref="C50:E50"/>
    <mergeCell ref="C51:E51"/>
    <mergeCell ref="C52:E52"/>
    <mergeCell ref="C53:E53"/>
    <mergeCell ref="C16:E16"/>
    <mergeCell ref="F16:G16"/>
    <mergeCell ref="C17:E17"/>
    <mergeCell ref="C18:E18"/>
    <mergeCell ref="C19:E19"/>
    <mergeCell ref="C20:E20"/>
    <mergeCell ref="C21:E21"/>
    <mergeCell ref="C22:E22"/>
    <mergeCell ref="C23:E23"/>
    <mergeCell ref="F22:G22"/>
    <mergeCell ref="F23:G23"/>
    <mergeCell ref="F21:G21"/>
    <mergeCell ref="F104:G104"/>
    <mergeCell ref="C104:E104"/>
    <mergeCell ref="C105:E105"/>
    <mergeCell ref="F105:G105"/>
    <mergeCell ref="C106:E106"/>
    <mergeCell ref="F106:G106"/>
    <mergeCell ref="C107:E107"/>
    <mergeCell ref="F107:G107"/>
    <mergeCell ref="C30:E30"/>
    <mergeCell ref="C31:E31"/>
    <mergeCell ref="C32:E32"/>
    <mergeCell ref="C33:E33"/>
    <mergeCell ref="C34:E34"/>
    <mergeCell ref="C35:E35"/>
    <mergeCell ref="C36:E36"/>
    <mergeCell ref="F57:G57"/>
    <mergeCell ref="F58:G58"/>
    <mergeCell ref="F59:G59"/>
    <mergeCell ref="C54:E54"/>
    <mergeCell ref="C55:E55"/>
    <mergeCell ref="C56:E56"/>
    <mergeCell ref="C57:E57"/>
    <mergeCell ref="C58:E58"/>
    <mergeCell ref="C59:E59"/>
    <mergeCell ref="C99:E99"/>
    <mergeCell ref="F99:G99"/>
    <mergeCell ref="C100:E100"/>
    <mergeCell ref="F100:G100"/>
    <mergeCell ref="C101:E101"/>
    <mergeCell ref="F101:G101"/>
    <mergeCell ref="C102:E102"/>
    <mergeCell ref="F102:G102"/>
    <mergeCell ref="C103:E103"/>
    <mergeCell ref="F103:G103"/>
    <mergeCell ref="C94:E94"/>
    <mergeCell ref="F94:G94"/>
    <mergeCell ref="C95:E95"/>
    <mergeCell ref="F95:G95"/>
    <mergeCell ref="C96:E96"/>
    <mergeCell ref="F96:G96"/>
    <mergeCell ref="F97:G97"/>
    <mergeCell ref="C97:E97"/>
    <mergeCell ref="C98:E98"/>
    <mergeCell ref="F98:G98"/>
  </mergeCells>
  <dataValidations count="45">
    <dataValidation type="list" allowBlank="1" showDropDown="1" showInputMessage="1" showErrorMessage="1" prompt="Identifies attributes of objects (color, shape, size)" sqref="Z12 AB12 AD12 AF12 AH12 AJ12 AL12 AN12 AP12 AR12" xr:uid="{00000000-0002-0000-0300-000000000000}">
      <formula1>"1"</formula1>
    </dataValidation>
    <dataValidation type="list" allowBlank="1" showDropDown="1" showInputMessage="1" showErrorMessage="1" prompt="Expresses ideas and feelings using phrases and simple sentences" sqref="BE13" xr:uid="{00000000-0002-0000-0300-000001000000}">
      <formula1>"12"</formula1>
    </dataValidation>
    <dataValidation type="list" allowBlank="1" showDropDown="1" showInputMessage="1" showErrorMessage="1" prompt="Identifies letter sound" sqref="BJ14" xr:uid="{00000000-0002-0000-0300-000002000000}">
      <formula1>"17"</formula1>
    </dataValidation>
    <dataValidation type="list" allowBlank="1" showDropDown="1" showInputMessage="1" showErrorMessage="1" prompt="Identifies and expresses feelings in appropriate ways" sqref="S12" xr:uid="{00000000-0002-0000-0300-000003000000}">
      <formula1>"1"</formula1>
    </dataValidation>
    <dataValidation type="list" allowBlank="1" showDropDown="1" showInputMessage="1" showErrorMessage="1" prompt="Retells personal experiences to story events" sqref="BD13" xr:uid="{00000000-0002-0000-0300-000004000000}">
      <formula1>"11"</formula1>
    </dataValidation>
    <dataValidation type="list" allowBlank="1" showDropDown="1" showInputMessage="1" showErrorMessage="1" prompt="Demonstrates awareness of print (left to right and top to bottom)" sqref="BP13" xr:uid="{00000000-0002-0000-0300-000005000000}">
      <formula1>"23"</formula1>
    </dataValidation>
    <dataValidation type="list" allowBlank="1" showDropDown="1" showInputMessage="1" showErrorMessage="1" prompt="Spells simple words phonetically" sqref="BU13" xr:uid="{00000000-0002-0000-0300-000006000000}">
      <formula1>"28"</formula1>
    </dataValidation>
    <dataValidation type="list" allowBlank="1" showDropDown="1" showInputMessage="1" showErrorMessage="1" prompt="Recognizes sight words" sqref="AY13" xr:uid="{00000000-0002-0000-0300-000007000000}">
      <formula1>"6"</formula1>
    </dataValidation>
    <dataValidation type="list" allowBlank="1" showDropDown="1" showInputMessage="1" showErrorMessage="1" prompt="Identifies classmates, teachers, family member" sqref="BA13" xr:uid="{00000000-0002-0000-0300-000008000000}">
      <formula1>"8"</formula1>
    </dataValidation>
    <dataValidation type="list" allowBlank="1" showDropDown="1" showInputMessage="1" showErrorMessage="1" prompt="Identifies familiar objects at home, in school and in the community" sqref="BB13" xr:uid="{00000000-0002-0000-0300-000009000000}">
      <formula1>"9"</formula1>
    </dataValidation>
    <dataValidation type="list" allowBlank="1" showDropDown="1" showInputMessage="1" showErrorMessage="1" prompt="Orally segment sounds a. syllable  b. onset and rime  c. phoneme by phoneme" sqref="BF14" xr:uid="{00000000-0002-0000-0300-00000A000000}">
      <formula1>"13"</formula1>
    </dataValidation>
    <dataValidation type="list" allowBlank="1" showDropDown="1" showInputMessage="1" showErrorMessage="1" prompt="Identifies ways to care for and protects one’s body" sqref="O12" xr:uid="{00000000-0002-0000-0300-00000B000000}">
      <formula1>"2"</formula1>
    </dataValidation>
    <dataValidation type="list" allowBlank="1" showDropDown="1" showInputMessage="1" showErrorMessage="1" prompt="Demonstrates gross motor skills (locomotor, non-locomotor)" sqref="P12" xr:uid="{00000000-0002-0000-0300-00000C000000}">
      <formula1>"3"</formula1>
    </dataValidation>
    <dataValidation type="list" allowBlank="1" showDropDown="1" showInputMessage="1" showErrorMessage="1" prompt="Participates in classroom routines and activities" sqref="W12" xr:uid="{00000000-0002-0000-0300-00000D000000}">
      <formula1>"5"</formula1>
    </dataValidation>
    <dataValidation type="list" allowBlank="1" showErrorMessage="1" sqref="N66:BU114" xr:uid="{00000000-0002-0000-0300-00000E000000}">
      <formula1>"CO,DV,GB"</formula1>
    </dataValidation>
    <dataValidation type="list" allowBlank="1" showDropDown="1" showInputMessage="1" showErrorMessage="1" prompt="Spells sight words" sqref="BT13" xr:uid="{00000000-0002-0000-0300-00000F000000}">
      <formula1>"27"</formula1>
    </dataValidation>
    <dataValidation type="list" allowBlank="1" showDropDown="1" showInputMessage="1" showErrorMessage="1" prompt="Follows classroom and school rules" sqref="X12" xr:uid="{00000000-0002-0000-0300-000010000000}">
      <formula1>"6"</formula1>
    </dataValidation>
    <dataValidation type="list" allowBlank="1" showDropDown="1" showInputMessage="1" showErrorMessage="1" prompt="Recognizes non-decodable words in and out of context automatically" sqref="AX13" xr:uid="{00000000-0002-0000-0300-000011000000}">
      <formula1>"5"</formula1>
    </dataValidation>
    <dataValidation type="list" allowBlank="1" showDropDown="1" showInputMessage="1" showErrorMessage="1" prompt="Identifies lowercase letters" sqref="BH14" xr:uid="{00000000-0002-0000-0300-000012000000}">
      <formula1>"15"</formula1>
    </dataValidation>
    <dataValidation type="list" allowBlank="1" showDropDown="1" showInputMessage="1" showErrorMessage="1" prompt="Demonstrates fine motor skills (tearing, cutting, rolling, molding with playdough)" sqref="R12" xr:uid="{00000000-0002-0000-0300-000013000000}">
      <formula1>"5"</formula1>
    </dataValidation>
    <dataValidation type="list" allowBlank="1" showDropDown="1" showInputMessage="1" showErrorMessage="1" prompt="Traces/draws/copies shapes, designs, pictures" sqref="BQ13" xr:uid="{00000000-0002-0000-0300-000014000000}">
      <formula1>"24"</formula1>
    </dataValidation>
    <dataValidation type="list" allowBlank="1" showDropDown="1" showInputMessage="1" showErrorMessage="1" prompt="Uses a variety of strategies to gain meaning of leveled texts" sqref="BL13" xr:uid="{00000000-0002-0000-0300-000015000000}">
      <formula1>"19"</formula1>
    </dataValidation>
    <dataValidation type="list" allowBlank="1" showDropDown="1" showInputMessage="1" showErrorMessage="1" prompt="Identifies external body parts and their functions" sqref="N12" xr:uid="{00000000-0002-0000-0300-000016000000}">
      <formula1>"1"</formula1>
    </dataValidation>
    <dataValidation type="list" allowBlank="1" showDropDown="1" showInputMessage="1" showErrorMessage="1" prompt="Fulfills classroom responsibilities" sqref="Y12" xr:uid="{00000000-0002-0000-0300-000017000000}">
      <formula1>"7"</formula1>
    </dataValidation>
    <dataValidation type="list" allowBlank="1" showDropDown="1" showInputMessage="1" showErrorMessage="1" prompt="Retells story in sequence " sqref="AV13" xr:uid="{00000000-0002-0000-0300-000018000000}">
      <formula1>"3"</formula1>
    </dataValidation>
    <dataValidation type="list" allowBlank="1" showDropDown="1" showInputMessage="1" showErrorMessage="1" prompt="Writes uppercase and lowercase letters" sqref="BS13" xr:uid="{00000000-0002-0000-0300-000019000000}">
      <formula1>"26"</formula1>
    </dataValidation>
    <dataValidation type="list" allowBlank="1" showDropDown="1" showInputMessage="1" showErrorMessage="1" prompt="Recalls what happens first, middle and end in a story" sqref="AU13" xr:uid="{00000000-0002-0000-0300-00001A000000}">
      <formula1>"2"</formula1>
    </dataValidation>
    <dataValidation type="list" allowBlank="1" showDropDown="1" showInputMessage="1" showErrorMessage="1" prompt="Traces/copies/writes name, words" sqref="BR13" xr:uid="{00000000-0002-0000-0300-00001B000000}">
      <formula1>"25"</formula1>
    </dataValidation>
    <dataValidation type="list" allowBlank="1" showDropDown="1" showInputMessage="1" showErrorMessage="1" prompt="Recognizes and respect feelings of others" sqref="T12" xr:uid="{00000000-0002-0000-0300-00001C000000}">
      <formula1>"2"</formula1>
    </dataValidation>
    <dataValidation type="list" allowBlank="1" showDropDown="1" showInputMessage="1" showErrorMessage="1" prompt="Identifies uppercase letters" sqref="BG14" xr:uid="{00000000-0002-0000-0300-00001D000000}">
      <formula1>"14"</formula1>
    </dataValidation>
    <dataValidation type="list" allowBlank="1" showDropDown="1" showInputMessage="1" showErrorMessage="1" prompt="Behaves appropriately in different situations" sqref="V12" xr:uid="{00000000-0002-0000-0300-00001E000000}">
      <formula1>"4"</formula1>
    </dataValidation>
    <dataValidation type="list" allowBlank="1" showDropDown="1" showInputMessage="1" showErrorMessage="1" prompt="Identifies familiar environmental sound" sqref="AT13" xr:uid="{00000000-0002-0000-0300-00001F000000}">
      <formula1>"1"</formula1>
    </dataValidation>
    <dataValidation type="list" allowBlank="1" showDropDown="1" showInputMessage="1" showErrorMessage="1" prompt="Uses print and illustrations to make meaning" sqref="BM13" xr:uid="{00000000-0002-0000-0300-000020000000}">
      <formula1>"20"</formula1>
    </dataValidation>
    <dataValidation type="list" allowBlank="1" showDropDown="1" showInputMessage="1" showErrorMessage="1" prompt="Moves body parts as directed" sqref="Q12" xr:uid="{00000000-0002-0000-0300-000021000000}">
      <formula1>"4"</formula1>
    </dataValidation>
    <dataValidation type="list" allowBlank="1" showErrorMessage="1" sqref="M16:M64 M66:M114" xr:uid="{00000000-0002-0000-0300-000022000000}">
      <formula1>"F,M"</formula1>
    </dataValidation>
    <dataValidation type="list" allowBlank="1" showDropDown="1" showInputMessage="1" showErrorMessage="1" prompt="Follows 1-2 step instructions" sqref="AW13" xr:uid="{00000000-0002-0000-0300-000023000000}">
      <formula1>"4"</formula1>
    </dataValidation>
    <dataValidation type="list" allowBlank="1" showDropDown="1" showInputMessage="1" showErrorMessage="1" prompt="Expresses needs and preferences" sqref="U12" xr:uid="{00000000-0002-0000-0300-000024000000}">
      <formula1>"3"</formula1>
    </dataValidation>
    <dataValidation type="list" allowBlank="1" showDropDown="1" showInputMessage="1" showErrorMessage="1" prompt="Matches upper and lowercase letters" sqref="BI14" xr:uid="{00000000-0002-0000-0300-000025000000}">
      <formula1>"16"</formula1>
    </dataValidation>
    <dataValidation type="list" allowBlank="1" showDropDown="1" showInputMessage="1" showErrorMessage="1" prompt="Uses polite greetings and courteous expressions in varied situations" sqref="BC13" xr:uid="{00000000-0002-0000-0300-000026000000}">
      <formula1>"10"</formula1>
    </dataValidation>
    <dataValidation type="list" allowBlank="1" showDropDown="1" showInputMessage="1" showErrorMessage="1" prompt="Demonstrates book handling skills" sqref="BN13" xr:uid="{00000000-0002-0000-0300-000027000000}">
      <formula1>"21"</formula1>
    </dataValidation>
    <dataValidation type="list" allowBlank="1" showDropDown="1" showInputMessage="1" showErrorMessage="1" prompt="Matches objects based on attributes" sqref="AA12 AC12 AE12 AG12 AI12 AK12 AM12 AO12 AQ12 AS12" xr:uid="{00000000-0002-0000-0300-000028000000}">
      <formula1>"2"</formula1>
    </dataValidation>
    <dataValidation type="list" allowBlank="1" showDropDown="1" showInputMessage="1" showErrorMessage="1" prompt="Identifies first and last name" sqref="AZ13" xr:uid="{00000000-0002-0000-0300-000029000000}">
      <formula1>"7"</formula1>
    </dataValidation>
    <dataValidation type="list" allowBlank="1" showDropDown="1" showInputMessage="1" showErrorMessage="1" prompt="Matches letters and their corresponding sounds" sqref="BK14" xr:uid="{00000000-0002-0000-0300-00002A000000}">
      <formula1>"18"</formula1>
    </dataValidation>
    <dataValidation type="list" allowBlank="1" showErrorMessage="1" sqref="N16:BU64" xr:uid="{00000000-0002-0000-0300-00002B000000}">
      <formula1>"CO,DV,BG"</formula1>
    </dataValidation>
    <dataValidation type="list" allowBlank="1" showDropDown="1" showInputMessage="1" showErrorMessage="1" prompt="Distinguishes between letters, words, and sentences" sqref="BO13" xr:uid="{00000000-0002-0000-0300-00002C000000}">
      <formula1>"22"</formula1>
    </dataValidation>
  </dataValidation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pageSetUpPr fitToPage="1"/>
  </sheetPr>
  <dimension ref="A1:BU1000"/>
  <sheetViews>
    <sheetView workbookViewId="0">
      <pane ySplit="14" topLeftCell="A15" activePane="bottomLeft" state="frozen"/>
      <selection pane="bottomLeft" activeCell="B16" sqref="B16"/>
    </sheetView>
  </sheetViews>
  <sheetFormatPr baseColWidth="10" defaultColWidth="12.6640625" defaultRowHeight="15" customHeight="1" x14ac:dyDescent="0.15"/>
  <cols>
    <col min="1" max="1" width="3.6640625" customWidth="1"/>
    <col min="2" max="2" width="4.33203125" customWidth="1"/>
    <col min="3" max="3" width="13.1640625" customWidth="1"/>
    <col min="6" max="6" width="15.33203125" customWidth="1"/>
    <col min="9" max="12" width="6.33203125" customWidth="1"/>
    <col min="13" max="13" width="5.1640625" customWidth="1"/>
    <col min="14" max="49" width="5.6640625" customWidth="1"/>
    <col min="50" max="51" width="7" customWidth="1"/>
    <col min="52" max="57" width="5.6640625" customWidth="1"/>
    <col min="58" max="58" width="15.6640625" customWidth="1"/>
    <col min="59" max="59" width="7" customWidth="1"/>
    <col min="60" max="61" width="5.6640625" customWidth="1"/>
    <col min="62" max="62" width="7.5" customWidth="1"/>
    <col min="63" max="63" width="5.6640625" customWidth="1"/>
    <col min="64" max="64" width="10.33203125" customWidth="1"/>
    <col min="65" max="65" width="8.33203125" customWidth="1"/>
    <col min="66" max="73" width="5.6640625" customWidth="1"/>
  </cols>
  <sheetData>
    <row r="1" spans="1:73" ht="13" x14ac:dyDescent="0.15">
      <c r="A1" s="186" t="s">
        <v>11</v>
      </c>
      <c r="B1" s="109"/>
      <c r="C1" s="109"/>
      <c r="D1" s="109"/>
      <c r="E1" s="109"/>
      <c r="F1" s="109"/>
      <c r="G1" s="109"/>
      <c r="H1" s="109"/>
      <c r="I1" s="109"/>
      <c r="J1" s="109"/>
      <c r="K1" s="109"/>
      <c r="L1" s="109"/>
      <c r="M1" s="109"/>
      <c r="N1" s="109"/>
      <c r="O1" s="109"/>
      <c r="P1" s="109"/>
      <c r="Q1" s="109"/>
      <c r="R1" s="109"/>
      <c r="S1" s="109"/>
      <c r="T1" s="109"/>
      <c r="U1" s="109"/>
      <c r="V1" s="109"/>
      <c r="W1" s="2"/>
      <c r="X1" s="2"/>
      <c r="Y1" s="2"/>
      <c r="Z1" s="2"/>
      <c r="AA1" s="2"/>
      <c r="AB1" s="2"/>
      <c r="AC1" s="2"/>
      <c r="AD1" s="2"/>
      <c r="AE1" s="2"/>
    </row>
    <row r="2" spans="1:73" ht="13" x14ac:dyDescent="0.15">
      <c r="A2" s="109"/>
      <c r="B2" s="109"/>
      <c r="C2" s="109"/>
      <c r="D2" s="109"/>
      <c r="E2" s="109"/>
      <c r="F2" s="109"/>
      <c r="G2" s="109"/>
      <c r="H2" s="109"/>
      <c r="I2" s="109"/>
      <c r="J2" s="109"/>
      <c r="K2" s="109"/>
      <c r="L2" s="109"/>
      <c r="M2" s="109"/>
      <c r="N2" s="109"/>
      <c r="O2" s="109"/>
      <c r="P2" s="109"/>
      <c r="Q2" s="109"/>
      <c r="R2" s="109"/>
      <c r="S2" s="109"/>
      <c r="T2" s="109"/>
      <c r="U2" s="109"/>
      <c r="V2" s="109"/>
      <c r="W2" s="2"/>
      <c r="X2" s="2"/>
      <c r="Y2" s="2"/>
      <c r="Z2" s="2"/>
      <c r="AA2" s="2"/>
      <c r="AB2" s="2"/>
      <c r="AC2" s="2"/>
      <c r="AD2" s="2"/>
      <c r="AE2" s="2"/>
    </row>
    <row r="3" spans="1:73" ht="13" x14ac:dyDescent="0.15">
      <c r="A3" s="109"/>
      <c r="B3" s="109"/>
      <c r="C3" s="109"/>
      <c r="D3" s="109"/>
      <c r="E3" s="109"/>
      <c r="F3" s="109"/>
      <c r="G3" s="109"/>
      <c r="H3" s="109"/>
      <c r="I3" s="109"/>
      <c r="J3" s="109"/>
      <c r="K3" s="109"/>
      <c r="L3" s="109"/>
      <c r="M3" s="109"/>
      <c r="N3" s="109"/>
      <c r="O3" s="109"/>
      <c r="P3" s="109"/>
      <c r="Q3" s="109"/>
      <c r="R3" s="109"/>
      <c r="S3" s="109"/>
      <c r="T3" s="109"/>
      <c r="U3" s="109"/>
      <c r="V3" s="109"/>
      <c r="W3" s="2"/>
      <c r="X3" s="2"/>
      <c r="Y3" s="2"/>
      <c r="Z3" s="2"/>
      <c r="AA3" s="2"/>
      <c r="AB3" s="2"/>
      <c r="AC3" s="2"/>
      <c r="AD3" s="2"/>
      <c r="AE3" s="2"/>
    </row>
    <row r="4" spans="1:73" ht="13" x14ac:dyDescent="0.15">
      <c r="A4" s="109"/>
      <c r="B4" s="109"/>
      <c r="C4" s="109"/>
      <c r="D4" s="109"/>
      <c r="E4" s="109"/>
      <c r="F4" s="109"/>
      <c r="G4" s="109"/>
      <c r="H4" s="109"/>
      <c r="I4" s="109"/>
      <c r="J4" s="109"/>
      <c r="K4" s="109"/>
      <c r="L4" s="109"/>
      <c r="M4" s="109"/>
      <c r="N4" s="109"/>
      <c r="O4" s="109"/>
      <c r="P4" s="109"/>
      <c r="Q4" s="109"/>
      <c r="R4" s="109"/>
      <c r="S4" s="109"/>
      <c r="T4" s="109"/>
      <c r="U4" s="109"/>
      <c r="V4" s="109"/>
      <c r="W4" s="5"/>
      <c r="X4" s="5"/>
      <c r="Y4" s="5"/>
      <c r="Z4" s="5"/>
      <c r="AA4" s="5"/>
      <c r="AB4" s="5"/>
      <c r="AC4" s="5"/>
      <c r="AD4" s="5"/>
      <c r="AE4" s="5"/>
    </row>
    <row r="5" spans="1:73" ht="16" x14ac:dyDescent="0.2">
      <c r="A5" s="7"/>
      <c r="B5" s="8"/>
      <c r="C5" s="9"/>
      <c r="D5" s="10" t="s">
        <v>4</v>
      </c>
      <c r="E5" s="187">
        <f>'INPUT DATA'!F10</f>
        <v>0</v>
      </c>
      <c r="F5" s="168"/>
      <c r="G5" s="169"/>
      <c r="H5" s="13"/>
      <c r="I5" s="10" t="s">
        <v>6</v>
      </c>
      <c r="J5" s="10"/>
      <c r="K5" s="187">
        <f>'INPUT DATA'!F11</f>
        <v>0</v>
      </c>
      <c r="L5" s="168"/>
      <c r="M5" s="169"/>
      <c r="N5" s="17"/>
      <c r="O5" s="13"/>
      <c r="P5" s="13"/>
      <c r="Q5" s="13"/>
      <c r="R5" s="13"/>
      <c r="S5" s="13"/>
      <c r="T5" s="13"/>
      <c r="U5" s="13"/>
      <c r="V5" s="7"/>
      <c r="W5" s="7"/>
      <c r="X5" s="7"/>
      <c r="Y5" s="7"/>
      <c r="Z5" s="7"/>
      <c r="AA5" s="7"/>
      <c r="AB5" s="7"/>
      <c r="AC5" s="7"/>
      <c r="AD5" s="7"/>
      <c r="AE5" s="7"/>
    </row>
    <row r="6" spans="1:73" ht="16" x14ac:dyDescent="0.2">
      <c r="A6" s="7"/>
      <c r="B6" s="8"/>
      <c r="C6" s="23"/>
      <c r="D6" s="10" t="s">
        <v>12</v>
      </c>
      <c r="E6" s="187">
        <f>'INPUT DATA'!F16</f>
        <v>0</v>
      </c>
      <c r="F6" s="168"/>
      <c r="G6" s="169"/>
      <c r="H6" s="13"/>
      <c r="I6" s="10" t="s">
        <v>13</v>
      </c>
      <c r="J6" s="10"/>
      <c r="K6" s="188">
        <f>'INPUT DATA'!F15</f>
        <v>0</v>
      </c>
      <c r="L6" s="168"/>
      <c r="M6" s="169"/>
      <c r="N6" s="27"/>
      <c r="O6" s="28"/>
      <c r="P6" s="28"/>
      <c r="Q6" s="28"/>
      <c r="R6" s="28"/>
      <c r="S6" s="10" t="s">
        <v>15</v>
      </c>
      <c r="T6" s="188">
        <f>'INPUT DATA'!F18</f>
        <v>0</v>
      </c>
      <c r="U6" s="169"/>
      <c r="V6" s="7"/>
      <c r="W6" s="7"/>
      <c r="X6" s="7"/>
      <c r="Y6" s="7"/>
      <c r="Z6" s="7"/>
      <c r="AA6" s="7"/>
      <c r="AB6" s="7"/>
      <c r="AC6" s="7"/>
      <c r="AD6" s="7"/>
      <c r="AE6" s="7"/>
    </row>
    <row r="7" spans="1:73" ht="13" x14ac:dyDescent="0.15">
      <c r="A7" s="5"/>
      <c r="B7" s="29"/>
      <c r="C7" s="30"/>
      <c r="D7" s="30"/>
      <c r="E7" s="5"/>
      <c r="F7" s="5"/>
      <c r="G7" s="31"/>
      <c r="I7" s="5"/>
      <c r="J7" s="5"/>
      <c r="K7" s="5"/>
      <c r="L7" s="30"/>
      <c r="M7" s="5"/>
      <c r="N7" s="5"/>
      <c r="O7" s="30"/>
      <c r="P7" s="30"/>
      <c r="Q7" s="30"/>
      <c r="R7" s="30"/>
      <c r="S7" s="5"/>
      <c r="T7" s="30"/>
      <c r="U7" s="5"/>
      <c r="V7" s="5"/>
      <c r="W7" s="5"/>
      <c r="X7" s="5"/>
      <c r="Y7" s="5"/>
      <c r="Z7" s="5"/>
      <c r="AA7" s="5"/>
      <c r="AB7" s="5"/>
      <c r="AC7" s="5"/>
      <c r="AD7" s="5"/>
      <c r="AE7" s="5"/>
    </row>
    <row r="8" spans="1:73" ht="15.75" customHeight="1" x14ac:dyDescent="0.15">
      <c r="A8" s="5"/>
      <c r="B8" s="5"/>
      <c r="C8" s="33"/>
      <c r="D8" s="30"/>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row>
    <row r="9" spans="1:73" ht="15.75" customHeight="1" x14ac:dyDescent="0.15">
      <c r="A9" s="2"/>
      <c r="B9" s="189" t="s">
        <v>28</v>
      </c>
      <c r="C9" s="115"/>
      <c r="D9" s="115"/>
      <c r="E9" s="115"/>
      <c r="F9" s="115"/>
      <c r="G9" s="115"/>
      <c r="H9" s="116"/>
      <c r="I9" s="201" t="s">
        <v>18</v>
      </c>
      <c r="J9" s="116"/>
      <c r="K9" s="201" t="s">
        <v>19</v>
      </c>
      <c r="L9" s="182"/>
      <c r="M9" s="203" t="s">
        <v>20</v>
      </c>
      <c r="N9" s="178" t="s">
        <v>21</v>
      </c>
      <c r="O9" s="163"/>
      <c r="P9" s="163"/>
      <c r="Q9" s="179"/>
      <c r="R9" s="180">
        <f>'INPUT DATA'!F27</f>
        <v>0</v>
      </c>
      <c r="S9" s="163"/>
      <c r="T9" s="163"/>
      <c r="U9" s="163"/>
      <c r="V9" s="163"/>
      <c r="W9" s="163"/>
      <c r="X9" s="163"/>
      <c r="Y9" s="163"/>
      <c r="Z9" s="163"/>
      <c r="AA9" s="163"/>
      <c r="AB9" s="163"/>
      <c r="AC9" s="163"/>
      <c r="AD9" s="154"/>
      <c r="AE9" s="181" t="s">
        <v>22</v>
      </c>
      <c r="AF9" s="115"/>
      <c r="AG9" s="182"/>
      <c r="AH9" s="183">
        <f>'INPUT DATA'!F26</f>
        <v>0</v>
      </c>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6"/>
    </row>
    <row r="10" spans="1:73" ht="15.75" customHeight="1" x14ac:dyDescent="0.15">
      <c r="A10" s="2"/>
      <c r="B10" s="140"/>
      <c r="C10" s="109"/>
      <c r="D10" s="109"/>
      <c r="E10" s="109"/>
      <c r="F10" s="109"/>
      <c r="G10" s="109"/>
      <c r="H10" s="142"/>
      <c r="I10" s="140"/>
      <c r="J10" s="142"/>
      <c r="K10" s="140"/>
      <c r="L10" s="138"/>
      <c r="M10" s="204"/>
      <c r="N10" s="184" t="s">
        <v>24</v>
      </c>
      <c r="O10" s="137"/>
      <c r="P10" s="137"/>
      <c r="Q10" s="132"/>
      <c r="R10" s="185">
        <f>'INPUT DATA'!F28</f>
        <v>0</v>
      </c>
      <c r="S10" s="156"/>
      <c r="T10" s="156"/>
      <c r="U10" s="156"/>
      <c r="V10" s="156"/>
      <c r="W10" s="156"/>
      <c r="X10" s="156"/>
      <c r="Y10" s="156"/>
      <c r="Z10" s="156"/>
      <c r="AA10" s="156"/>
      <c r="AB10" s="156"/>
      <c r="AC10" s="156"/>
      <c r="AD10" s="157"/>
      <c r="AE10" s="136"/>
      <c r="AF10" s="136"/>
      <c r="AG10" s="134"/>
      <c r="AH10" s="141"/>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3"/>
    </row>
    <row r="11" spans="1:73" ht="34.5" customHeight="1" x14ac:dyDescent="0.15">
      <c r="A11" s="5"/>
      <c r="B11" s="141"/>
      <c r="C11" s="144"/>
      <c r="D11" s="144"/>
      <c r="E11" s="144"/>
      <c r="F11" s="144"/>
      <c r="G11" s="144"/>
      <c r="H11" s="143"/>
      <c r="I11" s="141"/>
      <c r="J11" s="143"/>
      <c r="K11" s="141"/>
      <c r="L11" s="202"/>
      <c r="M11" s="204"/>
      <c r="N11" s="167" t="s">
        <v>25</v>
      </c>
      <c r="O11" s="168"/>
      <c r="P11" s="168"/>
      <c r="Q11" s="168"/>
      <c r="R11" s="169"/>
      <c r="S11" s="167" t="s">
        <v>26</v>
      </c>
      <c r="T11" s="168"/>
      <c r="U11" s="168"/>
      <c r="V11" s="168"/>
      <c r="W11" s="168"/>
      <c r="X11" s="168"/>
      <c r="Y11" s="169"/>
      <c r="Z11" s="170" t="s">
        <v>27</v>
      </c>
      <c r="AA11" s="115"/>
      <c r="AB11" s="115"/>
      <c r="AC11" s="115"/>
      <c r="AD11" s="115"/>
      <c r="AE11" s="115"/>
      <c r="AF11" s="115"/>
      <c r="AG11" s="115"/>
      <c r="AH11" s="115"/>
      <c r="AI11" s="115"/>
      <c r="AJ11" s="115"/>
      <c r="AK11" s="115"/>
      <c r="AL11" s="115"/>
      <c r="AM11" s="115"/>
      <c r="AN11" s="115"/>
      <c r="AO11" s="115"/>
      <c r="AP11" s="115"/>
      <c r="AQ11" s="115"/>
      <c r="AR11" s="115"/>
      <c r="AS11" s="116"/>
      <c r="AT11" s="170" t="s">
        <v>29</v>
      </c>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6"/>
    </row>
    <row r="12" spans="1:73" ht="34.5" customHeight="1" x14ac:dyDescent="0.15">
      <c r="A12" s="5"/>
      <c r="B12" s="201" t="s">
        <v>30</v>
      </c>
      <c r="C12" s="115"/>
      <c r="D12" s="115"/>
      <c r="E12" s="116"/>
      <c r="F12" s="201" t="s">
        <v>8</v>
      </c>
      <c r="G12" s="116"/>
      <c r="H12" s="203" t="s">
        <v>31</v>
      </c>
      <c r="I12" s="203" t="s">
        <v>32</v>
      </c>
      <c r="J12" s="203" t="s">
        <v>33</v>
      </c>
      <c r="K12" s="203" t="s">
        <v>32</v>
      </c>
      <c r="L12" s="190" t="s">
        <v>33</v>
      </c>
      <c r="M12" s="204"/>
      <c r="N12" s="191">
        <v>1</v>
      </c>
      <c r="O12" s="164">
        <v>2</v>
      </c>
      <c r="P12" s="164">
        <v>3</v>
      </c>
      <c r="Q12" s="164">
        <v>4</v>
      </c>
      <c r="R12" s="164">
        <v>5</v>
      </c>
      <c r="S12" s="164">
        <v>1</v>
      </c>
      <c r="T12" s="164">
        <v>2</v>
      </c>
      <c r="U12" s="164">
        <v>3</v>
      </c>
      <c r="V12" s="164">
        <v>4</v>
      </c>
      <c r="W12" s="164">
        <v>5</v>
      </c>
      <c r="X12" s="164">
        <v>6</v>
      </c>
      <c r="Y12" s="194">
        <v>7</v>
      </c>
      <c r="Z12" s="191">
        <v>1</v>
      </c>
      <c r="AA12" s="164">
        <v>2</v>
      </c>
      <c r="AB12" s="164">
        <v>3</v>
      </c>
      <c r="AC12" s="164">
        <v>4</v>
      </c>
      <c r="AD12" s="164">
        <v>5</v>
      </c>
      <c r="AE12" s="164">
        <v>6</v>
      </c>
      <c r="AF12" s="164">
        <v>7</v>
      </c>
      <c r="AG12" s="164">
        <v>8</v>
      </c>
      <c r="AH12" s="164">
        <v>9</v>
      </c>
      <c r="AI12" s="164">
        <v>10</v>
      </c>
      <c r="AJ12" s="164">
        <v>11</v>
      </c>
      <c r="AK12" s="164">
        <v>12</v>
      </c>
      <c r="AL12" s="164">
        <v>13</v>
      </c>
      <c r="AM12" s="164">
        <v>14</v>
      </c>
      <c r="AN12" s="164">
        <v>15</v>
      </c>
      <c r="AO12" s="164">
        <v>16</v>
      </c>
      <c r="AP12" s="164">
        <v>17</v>
      </c>
      <c r="AQ12" s="164">
        <v>18</v>
      </c>
      <c r="AR12" s="164">
        <v>19</v>
      </c>
      <c r="AS12" s="197">
        <v>20</v>
      </c>
      <c r="AT12" s="171" t="s">
        <v>36</v>
      </c>
      <c r="AU12" s="139"/>
      <c r="AV12" s="139"/>
      <c r="AW12" s="122"/>
      <c r="AX12" s="172" t="s">
        <v>37</v>
      </c>
      <c r="AY12" s="122"/>
      <c r="AZ12" s="172" t="s">
        <v>38</v>
      </c>
      <c r="BA12" s="139"/>
      <c r="BB12" s="139"/>
      <c r="BC12" s="139"/>
      <c r="BD12" s="139"/>
      <c r="BE12" s="122"/>
      <c r="BF12" s="172" t="s">
        <v>39</v>
      </c>
      <c r="BG12" s="139"/>
      <c r="BH12" s="139"/>
      <c r="BI12" s="139"/>
      <c r="BJ12" s="139"/>
      <c r="BK12" s="122"/>
      <c r="BL12" s="172" t="s">
        <v>40</v>
      </c>
      <c r="BM12" s="122"/>
      <c r="BN12" s="172" t="s">
        <v>41</v>
      </c>
      <c r="BO12" s="139"/>
      <c r="BP12" s="122"/>
      <c r="BQ12" s="172" t="s">
        <v>42</v>
      </c>
      <c r="BR12" s="139"/>
      <c r="BS12" s="139"/>
      <c r="BT12" s="139"/>
      <c r="BU12" s="146"/>
    </row>
    <row r="13" spans="1:73" ht="51" customHeight="1" x14ac:dyDescent="0.15">
      <c r="A13" s="5"/>
      <c r="B13" s="140"/>
      <c r="C13" s="109"/>
      <c r="D13" s="109"/>
      <c r="E13" s="142"/>
      <c r="F13" s="140"/>
      <c r="G13" s="142"/>
      <c r="H13" s="204"/>
      <c r="I13" s="204"/>
      <c r="J13" s="204"/>
      <c r="K13" s="204"/>
      <c r="L13" s="142"/>
      <c r="M13" s="204"/>
      <c r="N13" s="135"/>
      <c r="O13" s="165"/>
      <c r="P13" s="165"/>
      <c r="Q13" s="165"/>
      <c r="R13" s="165"/>
      <c r="S13" s="165"/>
      <c r="T13" s="165"/>
      <c r="U13" s="165"/>
      <c r="V13" s="165"/>
      <c r="W13" s="165"/>
      <c r="X13" s="165"/>
      <c r="Y13" s="195"/>
      <c r="Z13" s="135"/>
      <c r="AA13" s="165"/>
      <c r="AB13" s="165"/>
      <c r="AC13" s="165"/>
      <c r="AD13" s="165"/>
      <c r="AE13" s="165"/>
      <c r="AF13" s="165"/>
      <c r="AG13" s="165"/>
      <c r="AH13" s="165"/>
      <c r="AI13" s="165"/>
      <c r="AJ13" s="165"/>
      <c r="AK13" s="165"/>
      <c r="AL13" s="165"/>
      <c r="AM13" s="165"/>
      <c r="AN13" s="165"/>
      <c r="AO13" s="165"/>
      <c r="AP13" s="165"/>
      <c r="AQ13" s="165"/>
      <c r="AR13" s="165"/>
      <c r="AS13" s="198"/>
      <c r="AT13" s="199">
        <v>1</v>
      </c>
      <c r="AU13" s="175">
        <v>2</v>
      </c>
      <c r="AV13" s="175">
        <v>3</v>
      </c>
      <c r="AW13" s="175">
        <v>4</v>
      </c>
      <c r="AX13" s="175">
        <v>5</v>
      </c>
      <c r="AY13" s="175">
        <v>6</v>
      </c>
      <c r="AZ13" s="175">
        <v>7</v>
      </c>
      <c r="BA13" s="175">
        <v>8</v>
      </c>
      <c r="BB13" s="175">
        <v>9</v>
      </c>
      <c r="BC13" s="175">
        <v>10</v>
      </c>
      <c r="BD13" s="175">
        <v>11</v>
      </c>
      <c r="BE13" s="175">
        <v>12</v>
      </c>
      <c r="BF13" s="48" t="s">
        <v>44</v>
      </c>
      <c r="BG13" s="173" t="s">
        <v>45</v>
      </c>
      <c r="BH13" s="174"/>
      <c r="BI13" s="48"/>
      <c r="BJ13" s="173" t="s">
        <v>46</v>
      </c>
      <c r="BK13" s="174"/>
      <c r="BL13" s="175">
        <v>19</v>
      </c>
      <c r="BM13" s="175">
        <v>20</v>
      </c>
      <c r="BN13" s="175">
        <v>21</v>
      </c>
      <c r="BO13" s="175">
        <v>22</v>
      </c>
      <c r="BP13" s="175">
        <v>23</v>
      </c>
      <c r="BQ13" s="175">
        <v>24</v>
      </c>
      <c r="BR13" s="175">
        <v>25</v>
      </c>
      <c r="BS13" s="175">
        <v>26</v>
      </c>
      <c r="BT13" s="175">
        <v>27</v>
      </c>
      <c r="BU13" s="176">
        <v>28</v>
      </c>
    </row>
    <row r="14" spans="1:73" ht="15.75" customHeight="1" x14ac:dyDescent="0.15">
      <c r="A14" s="5"/>
      <c r="B14" s="141"/>
      <c r="C14" s="144"/>
      <c r="D14" s="144"/>
      <c r="E14" s="143"/>
      <c r="F14" s="141"/>
      <c r="G14" s="143"/>
      <c r="H14" s="205"/>
      <c r="I14" s="205"/>
      <c r="J14" s="205"/>
      <c r="K14" s="205"/>
      <c r="L14" s="143"/>
      <c r="M14" s="205"/>
      <c r="N14" s="192"/>
      <c r="O14" s="166"/>
      <c r="P14" s="166"/>
      <c r="Q14" s="166"/>
      <c r="R14" s="166"/>
      <c r="S14" s="166"/>
      <c r="T14" s="166"/>
      <c r="U14" s="166"/>
      <c r="V14" s="166"/>
      <c r="W14" s="166"/>
      <c r="X14" s="166"/>
      <c r="Y14" s="196"/>
      <c r="Z14" s="192"/>
      <c r="AA14" s="166"/>
      <c r="AB14" s="166"/>
      <c r="AC14" s="166"/>
      <c r="AD14" s="166"/>
      <c r="AE14" s="166"/>
      <c r="AF14" s="166"/>
      <c r="AG14" s="166"/>
      <c r="AH14" s="166"/>
      <c r="AI14" s="166"/>
      <c r="AJ14" s="166"/>
      <c r="AK14" s="166"/>
      <c r="AL14" s="166"/>
      <c r="AM14" s="166"/>
      <c r="AN14" s="166"/>
      <c r="AO14" s="166"/>
      <c r="AP14" s="166"/>
      <c r="AQ14" s="166"/>
      <c r="AR14" s="166"/>
      <c r="AS14" s="177"/>
      <c r="AT14" s="200"/>
      <c r="AU14" s="166"/>
      <c r="AV14" s="166"/>
      <c r="AW14" s="166"/>
      <c r="AX14" s="166"/>
      <c r="AY14" s="166"/>
      <c r="AZ14" s="166"/>
      <c r="BA14" s="166"/>
      <c r="BB14" s="166"/>
      <c r="BC14" s="166"/>
      <c r="BD14" s="166"/>
      <c r="BE14" s="166"/>
      <c r="BF14" s="52">
        <v>13</v>
      </c>
      <c r="BG14" s="52">
        <v>14</v>
      </c>
      <c r="BH14" s="52">
        <v>15</v>
      </c>
      <c r="BI14" s="52">
        <v>16</v>
      </c>
      <c r="BJ14" s="52">
        <v>17</v>
      </c>
      <c r="BK14" s="52">
        <v>18</v>
      </c>
      <c r="BL14" s="166"/>
      <c r="BM14" s="166"/>
      <c r="BN14" s="166"/>
      <c r="BO14" s="166"/>
      <c r="BP14" s="166"/>
      <c r="BQ14" s="166"/>
      <c r="BR14" s="166"/>
      <c r="BS14" s="166"/>
      <c r="BT14" s="166"/>
      <c r="BU14" s="177"/>
    </row>
    <row r="15" spans="1:73" ht="15.75" customHeight="1" x14ac:dyDescent="0.15">
      <c r="A15" s="7"/>
      <c r="B15" s="193" t="s">
        <v>7</v>
      </c>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9"/>
    </row>
    <row r="16" spans="1:73" ht="15.75" customHeight="1" x14ac:dyDescent="0.15">
      <c r="A16" s="7"/>
      <c r="B16" s="53">
        <v>1</v>
      </c>
      <c r="C16" s="151" t="str">
        <f>IF('INPUT DATA'!L11="","",'INPUT DATA'!L11)</f>
        <v/>
      </c>
      <c r="D16" s="152"/>
      <c r="E16" s="150"/>
      <c r="F16" s="153" t="str">
        <f>IF('INPUT DATA'!M11="","",'INPUT DATA'!M11)</f>
        <v/>
      </c>
      <c r="G16" s="154"/>
      <c r="H16" s="54" t="str">
        <f>IF('INPUT DATA'!N11="","",'INPUT DATA'!N11)</f>
        <v/>
      </c>
      <c r="I16" s="71" t="str">
        <f t="shared" ref="I16:I50" si="0">IF(H16="","",DATEDIF(H16,DATE(2026,6,8),"Y"))</f>
        <v/>
      </c>
      <c r="J16" s="71" t="str">
        <f t="shared" ref="J16:J50" si="1">IF(H16="","",DATEDIF(H16,DATE(2026,6,8),"YM"))</f>
        <v/>
      </c>
      <c r="K16" s="71" t="str">
        <f t="shared" ref="K16:K50" si="2">IF(H16="","",DATEDIF(H16,DATE(2027,4,8),"Y"))</f>
        <v/>
      </c>
      <c r="L16" s="71" t="str">
        <f t="shared" ref="L16:L50" si="3">IF(H16="","",DATEDIF(H16,DATE(2027,4,8),"YM"))</f>
        <v/>
      </c>
      <c r="M16" s="72" t="s">
        <v>47</v>
      </c>
      <c r="N16" s="59"/>
      <c r="O16" s="60"/>
      <c r="P16" s="60"/>
      <c r="Q16" s="60"/>
      <c r="R16" s="60"/>
      <c r="S16" s="60"/>
      <c r="T16" s="60"/>
      <c r="U16" s="60"/>
      <c r="V16" s="60"/>
      <c r="W16" s="60"/>
      <c r="X16" s="60"/>
      <c r="Y16" s="61"/>
      <c r="Z16" s="59"/>
      <c r="AA16" s="60"/>
      <c r="AB16" s="60"/>
      <c r="AC16" s="60"/>
      <c r="AD16" s="60"/>
      <c r="AE16" s="60"/>
      <c r="AF16" s="60"/>
      <c r="AG16" s="60"/>
      <c r="AH16" s="60"/>
      <c r="AI16" s="60"/>
      <c r="AJ16" s="60"/>
      <c r="AK16" s="60"/>
      <c r="AL16" s="60"/>
      <c r="AM16" s="60"/>
      <c r="AN16" s="60"/>
      <c r="AO16" s="60"/>
      <c r="AP16" s="60"/>
      <c r="AQ16" s="60"/>
      <c r="AR16" s="60"/>
      <c r="AS16" s="61"/>
      <c r="AT16" s="59"/>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1"/>
    </row>
    <row r="17" spans="1:73" ht="15.75" customHeight="1" x14ac:dyDescent="0.15">
      <c r="A17" s="7"/>
      <c r="B17" s="62">
        <v>2</v>
      </c>
      <c r="C17" s="148" t="str">
        <f>IF('INPUT DATA'!L12="","",'INPUT DATA'!L12)</f>
        <v/>
      </c>
      <c r="D17" s="139"/>
      <c r="E17" s="146"/>
      <c r="F17" s="149" t="str">
        <f>IF('INPUT DATA'!M12="","",'INPUT DATA'!M12)</f>
        <v/>
      </c>
      <c r="G17" s="150"/>
      <c r="H17" s="63" t="str">
        <f>IF('INPUT DATA'!N12="","",'INPUT DATA'!N12)</f>
        <v/>
      </c>
      <c r="I17" s="71" t="str">
        <f t="shared" si="0"/>
        <v/>
      </c>
      <c r="J17" s="71" t="str">
        <f t="shared" si="1"/>
        <v/>
      </c>
      <c r="K17" s="71" t="str">
        <f t="shared" si="2"/>
        <v/>
      </c>
      <c r="L17" s="71" t="str">
        <f t="shared" si="3"/>
        <v/>
      </c>
      <c r="M17" s="78" t="s">
        <v>47</v>
      </c>
      <c r="N17" s="68"/>
      <c r="O17" s="69"/>
      <c r="P17" s="69"/>
      <c r="Q17" s="69"/>
      <c r="R17" s="69"/>
      <c r="S17" s="69"/>
      <c r="T17" s="69"/>
      <c r="U17" s="69"/>
      <c r="V17" s="69"/>
      <c r="W17" s="69"/>
      <c r="X17" s="69"/>
      <c r="Y17" s="70"/>
      <c r="Z17" s="68"/>
      <c r="AA17" s="69"/>
      <c r="AB17" s="69"/>
      <c r="AC17" s="69"/>
      <c r="AD17" s="69"/>
      <c r="AE17" s="69"/>
      <c r="AF17" s="69"/>
      <c r="AG17" s="69"/>
      <c r="AH17" s="69"/>
      <c r="AI17" s="69"/>
      <c r="AJ17" s="69"/>
      <c r="AK17" s="69"/>
      <c r="AL17" s="69"/>
      <c r="AM17" s="69"/>
      <c r="AN17" s="69"/>
      <c r="AO17" s="69"/>
      <c r="AP17" s="69"/>
      <c r="AQ17" s="69"/>
      <c r="AR17" s="69"/>
      <c r="AS17" s="70"/>
      <c r="AT17" s="68"/>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70"/>
    </row>
    <row r="18" spans="1:73" ht="15.75" customHeight="1" x14ac:dyDescent="0.15">
      <c r="A18" s="7"/>
      <c r="B18" s="62">
        <v>3</v>
      </c>
      <c r="C18" s="148" t="str">
        <f>IF('INPUT DATA'!L13="","",'INPUT DATA'!L13)</f>
        <v/>
      </c>
      <c r="D18" s="139"/>
      <c r="E18" s="146"/>
      <c r="F18" s="149" t="str">
        <f>IF('INPUT DATA'!M13="","",'INPUT DATA'!M13)</f>
        <v/>
      </c>
      <c r="G18" s="150"/>
      <c r="H18" s="63" t="str">
        <f>IF('INPUT DATA'!N13="","",'INPUT DATA'!N13)</f>
        <v/>
      </c>
      <c r="I18" s="71" t="str">
        <f t="shared" si="0"/>
        <v/>
      </c>
      <c r="J18" s="71" t="str">
        <f t="shared" si="1"/>
        <v/>
      </c>
      <c r="K18" s="71" t="str">
        <f t="shared" si="2"/>
        <v/>
      </c>
      <c r="L18" s="71" t="str">
        <f t="shared" si="3"/>
        <v/>
      </c>
      <c r="M18" s="78" t="s">
        <v>47</v>
      </c>
      <c r="N18" s="73"/>
      <c r="O18" s="74"/>
      <c r="P18" s="74"/>
      <c r="Q18" s="74"/>
      <c r="R18" s="74"/>
      <c r="S18" s="74"/>
      <c r="T18" s="74"/>
      <c r="U18" s="74"/>
      <c r="V18" s="74"/>
      <c r="W18" s="74"/>
      <c r="X18" s="74"/>
      <c r="Y18" s="75"/>
      <c r="Z18" s="73"/>
      <c r="AA18" s="74"/>
      <c r="AB18" s="74"/>
      <c r="AC18" s="74"/>
      <c r="AD18" s="74"/>
      <c r="AE18" s="74"/>
      <c r="AF18" s="74"/>
      <c r="AG18" s="74"/>
      <c r="AH18" s="74"/>
      <c r="AI18" s="74"/>
      <c r="AJ18" s="74"/>
      <c r="AK18" s="74"/>
      <c r="AL18" s="74"/>
      <c r="AM18" s="74"/>
      <c r="AN18" s="74"/>
      <c r="AO18" s="74"/>
      <c r="AP18" s="74"/>
      <c r="AQ18" s="74"/>
      <c r="AR18" s="74"/>
      <c r="AS18" s="75"/>
      <c r="AT18" s="73"/>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5"/>
    </row>
    <row r="19" spans="1:73" ht="15.75" customHeight="1" x14ac:dyDescent="0.15">
      <c r="A19" s="7"/>
      <c r="B19" s="76">
        <v>4</v>
      </c>
      <c r="C19" s="148" t="str">
        <f>IF('INPUT DATA'!L14="","",'INPUT DATA'!L14)</f>
        <v/>
      </c>
      <c r="D19" s="139"/>
      <c r="E19" s="146"/>
      <c r="F19" s="149" t="str">
        <f>IF('INPUT DATA'!M14="","",'INPUT DATA'!M14)</f>
        <v/>
      </c>
      <c r="G19" s="150"/>
      <c r="H19" s="63" t="str">
        <f>IF('INPUT DATA'!N14="","",'INPUT DATA'!N14)</f>
        <v/>
      </c>
      <c r="I19" s="71" t="str">
        <f t="shared" si="0"/>
        <v/>
      </c>
      <c r="J19" s="71" t="str">
        <f t="shared" si="1"/>
        <v/>
      </c>
      <c r="K19" s="71" t="str">
        <f t="shared" si="2"/>
        <v/>
      </c>
      <c r="L19" s="71" t="str">
        <f t="shared" si="3"/>
        <v/>
      </c>
      <c r="M19" s="80" t="s">
        <v>47</v>
      </c>
      <c r="N19" s="73"/>
      <c r="O19" s="74"/>
      <c r="P19" s="74"/>
      <c r="Q19" s="74"/>
      <c r="R19" s="74"/>
      <c r="S19" s="74"/>
      <c r="T19" s="74"/>
      <c r="U19" s="74"/>
      <c r="V19" s="74"/>
      <c r="W19" s="74"/>
      <c r="X19" s="74"/>
      <c r="Y19" s="75"/>
      <c r="Z19" s="73"/>
      <c r="AA19" s="74"/>
      <c r="AB19" s="74"/>
      <c r="AC19" s="74"/>
      <c r="AD19" s="74"/>
      <c r="AE19" s="74"/>
      <c r="AF19" s="74"/>
      <c r="AG19" s="74"/>
      <c r="AH19" s="74"/>
      <c r="AI19" s="74"/>
      <c r="AJ19" s="74"/>
      <c r="AK19" s="74"/>
      <c r="AL19" s="74"/>
      <c r="AM19" s="74"/>
      <c r="AN19" s="74"/>
      <c r="AO19" s="74"/>
      <c r="AP19" s="74"/>
      <c r="AQ19" s="74"/>
      <c r="AR19" s="74"/>
      <c r="AS19" s="75"/>
      <c r="AT19" s="73"/>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5"/>
    </row>
    <row r="20" spans="1:73" ht="15.75" customHeight="1" x14ac:dyDescent="0.15">
      <c r="A20" s="7"/>
      <c r="B20" s="76">
        <v>5</v>
      </c>
      <c r="C20" s="148" t="str">
        <f>IF('INPUT DATA'!L15="","",'INPUT DATA'!L15)</f>
        <v/>
      </c>
      <c r="D20" s="139"/>
      <c r="E20" s="146"/>
      <c r="F20" s="149" t="str">
        <f>IF('INPUT DATA'!M15="","",'INPUT DATA'!M15)</f>
        <v/>
      </c>
      <c r="G20" s="150"/>
      <c r="H20" s="63" t="str">
        <f>IF('INPUT DATA'!N15="","",'INPUT DATA'!N15)</f>
        <v/>
      </c>
      <c r="I20" s="71" t="str">
        <f t="shared" si="0"/>
        <v/>
      </c>
      <c r="J20" s="71" t="str">
        <f t="shared" si="1"/>
        <v/>
      </c>
      <c r="K20" s="71" t="str">
        <f t="shared" si="2"/>
        <v/>
      </c>
      <c r="L20" s="71" t="str">
        <f t="shared" si="3"/>
        <v/>
      </c>
      <c r="M20" s="80" t="s">
        <v>47</v>
      </c>
      <c r="N20" s="73"/>
      <c r="O20" s="74"/>
      <c r="P20" s="74"/>
      <c r="Q20" s="74"/>
      <c r="R20" s="74"/>
      <c r="S20" s="74"/>
      <c r="T20" s="74"/>
      <c r="U20" s="74"/>
      <c r="V20" s="74"/>
      <c r="W20" s="74"/>
      <c r="X20" s="74"/>
      <c r="Y20" s="75"/>
      <c r="Z20" s="73"/>
      <c r="AA20" s="74"/>
      <c r="AB20" s="74"/>
      <c r="AC20" s="74"/>
      <c r="AD20" s="74"/>
      <c r="AE20" s="74"/>
      <c r="AF20" s="74"/>
      <c r="AG20" s="74"/>
      <c r="AH20" s="74"/>
      <c r="AI20" s="74"/>
      <c r="AJ20" s="74"/>
      <c r="AK20" s="74"/>
      <c r="AL20" s="74"/>
      <c r="AM20" s="74"/>
      <c r="AN20" s="74"/>
      <c r="AO20" s="74"/>
      <c r="AP20" s="74"/>
      <c r="AQ20" s="74"/>
      <c r="AR20" s="74"/>
      <c r="AS20" s="75"/>
      <c r="AT20" s="73"/>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5"/>
    </row>
    <row r="21" spans="1:73" ht="15.75" customHeight="1" x14ac:dyDescent="0.15">
      <c r="A21" s="7"/>
      <c r="B21" s="76">
        <v>6</v>
      </c>
      <c r="C21" s="148" t="str">
        <f>IF('INPUT DATA'!L16="","",'INPUT DATA'!L16)</f>
        <v/>
      </c>
      <c r="D21" s="139"/>
      <c r="E21" s="146"/>
      <c r="F21" s="149" t="str">
        <f>IF('INPUT DATA'!M16="","",'INPUT DATA'!M16)</f>
        <v/>
      </c>
      <c r="G21" s="150"/>
      <c r="H21" s="63" t="str">
        <f>IF('INPUT DATA'!N16="","",'INPUT DATA'!N16)</f>
        <v/>
      </c>
      <c r="I21" s="71" t="str">
        <f t="shared" si="0"/>
        <v/>
      </c>
      <c r="J21" s="71" t="str">
        <f t="shared" si="1"/>
        <v/>
      </c>
      <c r="K21" s="71" t="str">
        <f t="shared" si="2"/>
        <v/>
      </c>
      <c r="L21" s="71" t="str">
        <f t="shared" si="3"/>
        <v/>
      </c>
      <c r="M21" s="80" t="s">
        <v>47</v>
      </c>
      <c r="N21" s="73"/>
      <c r="O21" s="74"/>
      <c r="P21" s="74"/>
      <c r="Q21" s="74"/>
      <c r="R21" s="74"/>
      <c r="S21" s="74"/>
      <c r="T21" s="74"/>
      <c r="U21" s="74"/>
      <c r="V21" s="74"/>
      <c r="W21" s="74"/>
      <c r="X21" s="74"/>
      <c r="Y21" s="75"/>
      <c r="Z21" s="73"/>
      <c r="AA21" s="74"/>
      <c r="AB21" s="74"/>
      <c r="AC21" s="74"/>
      <c r="AD21" s="74"/>
      <c r="AE21" s="74"/>
      <c r="AF21" s="74"/>
      <c r="AG21" s="74"/>
      <c r="AH21" s="74"/>
      <c r="AI21" s="74"/>
      <c r="AJ21" s="74"/>
      <c r="AK21" s="74"/>
      <c r="AL21" s="74"/>
      <c r="AM21" s="74"/>
      <c r="AN21" s="74"/>
      <c r="AO21" s="74"/>
      <c r="AP21" s="74"/>
      <c r="AQ21" s="74"/>
      <c r="AR21" s="74"/>
      <c r="AS21" s="75"/>
      <c r="AT21" s="73"/>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5"/>
    </row>
    <row r="22" spans="1:73" ht="15.75" customHeight="1" x14ac:dyDescent="0.15">
      <c r="A22" s="7"/>
      <c r="B22" s="76">
        <v>7</v>
      </c>
      <c r="C22" s="148" t="str">
        <f>IF('INPUT DATA'!L17="","",'INPUT DATA'!L17)</f>
        <v/>
      </c>
      <c r="D22" s="139"/>
      <c r="E22" s="146"/>
      <c r="F22" s="149" t="str">
        <f>IF('INPUT DATA'!M17="","",'INPUT DATA'!M17)</f>
        <v/>
      </c>
      <c r="G22" s="150"/>
      <c r="H22" s="63" t="str">
        <f>IF('INPUT DATA'!N17="","",'INPUT DATA'!N17)</f>
        <v/>
      </c>
      <c r="I22" s="71" t="str">
        <f t="shared" si="0"/>
        <v/>
      </c>
      <c r="J22" s="71" t="str">
        <f t="shared" si="1"/>
        <v/>
      </c>
      <c r="K22" s="71" t="str">
        <f t="shared" si="2"/>
        <v/>
      </c>
      <c r="L22" s="71" t="str">
        <f t="shared" si="3"/>
        <v/>
      </c>
      <c r="M22" s="80" t="s">
        <v>47</v>
      </c>
      <c r="N22" s="73"/>
      <c r="O22" s="74"/>
      <c r="P22" s="74"/>
      <c r="Q22" s="74"/>
      <c r="R22" s="74"/>
      <c r="S22" s="74"/>
      <c r="T22" s="74"/>
      <c r="U22" s="74"/>
      <c r="V22" s="74"/>
      <c r="W22" s="74"/>
      <c r="X22" s="74"/>
      <c r="Y22" s="75"/>
      <c r="Z22" s="73"/>
      <c r="AA22" s="74"/>
      <c r="AB22" s="74"/>
      <c r="AC22" s="74"/>
      <c r="AD22" s="74"/>
      <c r="AE22" s="74"/>
      <c r="AF22" s="74"/>
      <c r="AG22" s="74"/>
      <c r="AH22" s="74"/>
      <c r="AI22" s="74"/>
      <c r="AJ22" s="74"/>
      <c r="AK22" s="74"/>
      <c r="AL22" s="74"/>
      <c r="AM22" s="74"/>
      <c r="AN22" s="74"/>
      <c r="AO22" s="74"/>
      <c r="AP22" s="74"/>
      <c r="AQ22" s="74"/>
      <c r="AR22" s="74"/>
      <c r="AS22" s="75"/>
      <c r="AT22" s="73"/>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5"/>
    </row>
    <row r="23" spans="1:73" ht="15.75" customHeight="1" x14ac:dyDescent="0.15">
      <c r="A23" s="7"/>
      <c r="B23" s="76">
        <v>8</v>
      </c>
      <c r="C23" s="148" t="str">
        <f>IF('INPUT DATA'!L18="","",'INPUT DATA'!L18)</f>
        <v/>
      </c>
      <c r="D23" s="139"/>
      <c r="E23" s="146"/>
      <c r="F23" s="149" t="str">
        <f>IF('INPUT DATA'!M18="","",'INPUT DATA'!M18)</f>
        <v/>
      </c>
      <c r="G23" s="150"/>
      <c r="H23" s="63" t="str">
        <f>IF('INPUT DATA'!N18="","",'INPUT DATA'!N18)</f>
        <v/>
      </c>
      <c r="I23" s="71" t="str">
        <f t="shared" si="0"/>
        <v/>
      </c>
      <c r="J23" s="71" t="str">
        <f t="shared" si="1"/>
        <v/>
      </c>
      <c r="K23" s="71" t="str">
        <f t="shared" si="2"/>
        <v/>
      </c>
      <c r="L23" s="71" t="str">
        <f t="shared" si="3"/>
        <v/>
      </c>
      <c r="M23" s="80" t="s">
        <v>47</v>
      </c>
      <c r="N23" s="73"/>
      <c r="O23" s="74"/>
      <c r="P23" s="74"/>
      <c r="Q23" s="74"/>
      <c r="R23" s="74"/>
      <c r="S23" s="74"/>
      <c r="T23" s="74"/>
      <c r="U23" s="74"/>
      <c r="V23" s="74"/>
      <c r="W23" s="74"/>
      <c r="X23" s="74"/>
      <c r="Y23" s="75"/>
      <c r="Z23" s="73"/>
      <c r="AA23" s="74"/>
      <c r="AB23" s="74"/>
      <c r="AC23" s="74"/>
      <c r="AD23" s="74"/>
      <c r="AE23" s="74"/>
      <c r="AF23" s="74"/>
      <c r="AG23" s="74"/>
      <c r="AH23" s="74"/>
      <c r="AI23" s="74"/>
      <c r="AJ23" s="74"/>
      <c r="AK23" s="74"/>
      <c r="AL23" s="74"/>
      <c r="AM23" s="74"/>
      <c r="AN23" s="74"/>
      <c r="AO23" s="74"/>
      <c r="AP23" s="74"/>
      <c r="AQ23" s="74"/>
      <c r="AR23" s="74"/>
      <c r="AS23" s="75"/>
      <c r="AT23" s="73"/>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5"/>
    </row>
    <row r="24" spans="1:73" ht="15.75" customHeight="1" x14ac:dyDescent="0.15">
      <c r="A24" s="7"/>
      <c r="B24" s="76">
        <v>9</v>
      </c>
      <c r="C24" s="148" t="str">
        <f>IF('INPUT DATA'!L19="","",'INPUT DATA'!L19)</f>
        <v/>
      </c>
      <c r="D24" s="139"/>
      <c r="E24" s="146"/>
      <c r="F24" s="149" t="str">
        <f>IF('INPUT DATA'!M19="","",'INPUT DATA'!M19)</f>
        <v/>
      </c>
      <c r="G24" s="150"/>
      <c r="H24" s="63" t="str">
        <f>IF('INPUT DATA'!N19="","",'INPUT DATA'!N19)</f>
        <v/>
      </c>
      <c r="I24" s="71" t="str">
        <f t="shared" si="0"/>
        <v/>
      </c>
      <c r="J24" s="71" t="str">
        <f t="shared" si="1"/>
        <v/>
      </c>
      <c r="K24" s="71" t="str">
        <f t="shared" si="2"/>
        <v/>
      </c>
      <c r="L24" s="71" t="str">
        <f t="shared" si="3"/>
        <v/>
      </c>
      <c r="M24" s="80" t="s">
        <v>47</v>
      </c>
      <c r="N24" s="73"/>
      <c r="O24" s="74"/>
      <c r="P24" s="74"/>
      <c r="Q24" s="74"/>
      <c r="R24" s="74"/>
      <c r="S24" s="74"/>
      <c r="T24" s="74"/>
      <c r="U24" s="74"/>
      <c r="V24" s="74"/>
      <c r="W24" s="74"/>
      <c r="X24" s="74"/>
      <c r="Y24" s="75"/>
      <c r="Z24" s="73"/>
      <c r="AA24" s="74"/>
      <c r="AB24" s="74"/>
      <c r="AC24" s="74"/>
      <c r="AD24" s="74"/>
      <c r="AE24" s="74"/>
      <c r="AF24" s="74"/>
      <c r="AG24" s="74"/>
      <c r="AH24" s="74"/>
      <c r="AI24" s="74"/>
      <c r="AJ24" s="74"/>
      <c r="AK24" s="74"/>
      <c r="AL24" s="74"/>
      <c r="AM24" s="74"/>
      <c r="AN24" s="74"/>
      <c r="AO24" s="74"/>
      <c r="AP24" s="74"/>
      <c r="AQ24" s="74"/>
      <c r="AR24" s="74"/>
      <c r="AS24" s="75"/>
      <c r="AT24" s="73"/>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5"/>
    </row>
    <row r="25" spans="1:73" ht="15.75" customHeight="1" x14ac:dyDescent="0.15">
      <c r="A25" s="7"/>
      <c r="B25" s="76">
        <v>10</v>
      </c>
      <c r="C25" s="148" t="str">
        <f>IF('INPUT DATA'!L20="","",'INPUT DATA'!L20)</f>
        <v/>
      </c>
      <c r="D25" s="139"/>
      <c r="E25" s="146"/>
      <c r="F25" s="149" t="str">
        <f>IF('INPUT DATA'!M20="","",'INPUT DATA'!M20)</f>
        <v/>
      </c>
      <c r="G25" s="150"/>
      <c r="H25" s="63" t="str">
        <f>IF('INPUT DATA'!N20="","",'INPUT DATA'!N20)</f>
        <v/>
      </c>
      <c r="I25" s="71" t="str">
        <f t="shared" si="0"/>
        <v/>
      </c>
      <c r="J25" s="71" t="str">
        <f t="shared" si="1"/>
        <v/>
      </c>
      <c r="K25" s="71" t="str">
        <f t="shared" si="2"/>
        <v/>
      </c>
      <c r="L25" s="71" t="str">
        <f t="shared" si="3"/>
        <v/>
      </c>
      <c r="M25" s="80" t="s">
        <v>47</v>
      </c>
      <c r="N25" s="73"/>
      <c r="O25" s="74"/>
      <c r="P25" s="74"/>
      <c r="Q25" s="74"/>
      <c r="R25" s="74"/>
      <c r="S25" s="74"/>
      <c r="T25" s="74"/>
      <c r="U25" s="74"/>
      <c r="V25" s="74"/>
      <c r="W25" s="74"/>
      <c r="X25" s="74"/>
      <c r="Y25" s="75"/>
      <c r="Z25" s="73"/>
      <c r="AA25" s="74"/>
      <c r="AB25" s="74"/>
      <c r="AC25" s="74"/>
      <c r="AD25" s="74"/>
      <c r="AE25" s="74"/>
      <c r="AF25" s="74"/>
      <c r="AG25" s="74"/>
      <c r="AH25" s="74"/>
      <c r="AI25" s="74"/>
      <c r="AJ25" s="74"/>
      <c r="AK25" s="74"/>
      <c r="AL25" s="74"/>
      <c r="AM25" s="74"/>
      <c r="AN25" s="74"/>
      <c r="AO25" s="74"/>
      <c r="AP25" s="74"/>
      <c r="AQ25" s="74"/>
      <c r="AR25" s="74"/>
      <c r="AS25" s="75"/>
      <c r="AT25" s="73"/>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5"/>
    </row>
    <row r="26" spans="1:73" ht="15.75" customHeight="1" x14ac:dyDescent="0.15">
      <c r="A26" s="7"/>
      <c r="B26" s="76">
        <v>11</v>
      </c>
      <c r="C26" s="148" t="str">
        <f>IF('INPUT DATA'!L21="","",'INPUT DATA'!L21)</f>
        <v/>
      </c>
      <c r="D26" s="139"/>
      <c r="E26" s="146"/>
      <c r="F26" s="149" t="str">
        <f>IF('INPUT DATA'!M21="","",'INPUT DATA'!M21)</f>
        <v/>
      </c>
      <c r="G26" s="150"/>
      <c r="H26" s="63" t="str">
        <f>IF('INPUT DATA'!N21="","",'INPUT DATA'!N21)</f>
        <v/>
      </c>
      <c r="I26" s="71" t="str">
        <f t="shared" si="0"/>
        <v/>
      </c>
      <c r="J26" s="71" t="str">
        <f t="shared" si="1"/>
        <v/>
      </c>
      <c r="K26" s="71" t="str">
        <f t="shared" si="2"/>
        <v/>
      </c>
      <c r="L26" s="71" t="str">
        <f t="shared" si="3"/>
        <v/>
      </c>
      <c r="M26" s="80" t="s">
        <v>47</v>
      </c>
      <c r="N26" s="73"/>
      <c r="O26" s="74"/>
      <c r="P26" s="74"/>
      <c r="Q26" s="74"/>
      <c r="R26" s="74"/>
      <c r="S26" s="74"/>
      <c r="T26" s="74"/>
      <c r="U26" s="74"/>
      <c r="V26" s="74"/>
      <c r="W26" s="74"/>
      <c r="X26" s="74"/>
      <c r="Y26" s="75"/>
      <c r="Z26" s="73"/>
      <c r="AA26" s="74"/>
      <c r="AB26" s="74"/>
      <c r="AC26" s="74"/>
      <c r="AD26" s="74"/>
      <c r="AE26" s="74"/>
      <c r="AF26" s="74"/>
      <c r="AG26" s="74"/>
      <c r="AH26" s="74"/>
      <c r="AI26" s="74"/>
      <c r="AJ26" s="74"/>
      <c r="AK26" s="74"/>
      <c r="AL26" s="74"/>
      <c r="AM26" s="74"/>
      <c r="AN26" s="74"/>
      <c r="AO26" s="74"/>
      <c r="AP26" s="74"/>
      <c r="AQ26" s="74"/>
      <c r="AR26" s="74"/>
      <c r="AS26" s="75"/>
      <c r="AT26" s="73"/>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5"/>
    </row>
    <row r="27" spans="1:73" ht="15.75" customHeight="1" x14ac:dyDescent="0.15">
      <c r="A27" s="7"/>
      <c r="B27" s="76">
        <v>12</v>
      </c>
      <c r="C27" s="148" t="str">
        <f>IF('INPUT DATA'!L22="","",'INPUT DATA'!L22)</f>
        <v/>
      </c>
      <c r="D27" s="139"/>
      <c r="E27" s="146"/>
      <c r="F27" s="149" t="str">
        <f>IF('INPUT DATA'!M22="","",'INPUT DATA'!M22)</f>
        <v/>
      </c>
      <c r="G27" s="150"/>
      <c r="H27" s="63" t="str">
        <f>IF('INPUT DATA'!N22="","",'INPUT DATA'!N22)</f>
        <v/>
      </c>
      <c r="I27" s="71" t="str">
        <f t="shared" si="0"/>
        <v/>
      </c>
      <c r="J27" s="71" t="str">
        <f t="shared" si="1"/>
        <v/>
      </c>
      <c r="K27" s="71" t="str">
        <f t="shared" si="2"/>
        <v/>
      </c>
      <c r="L27" s="71" t="str">
        <f t="shared" si="3"/>
        <v/>
      </c>
      <c r="M27" s="80" t="s">
        <v>47</v>
      </c>
      <c r="N27" s="73"/>
      <c r="O27" s="74"/>
      <c r="P27" s="74"/>
      <c r="Q27" s="74"/>
      <c r="R27" s="74"/>
      <c r="S27" s="74"/>
      <c r="T27" s="74"/>
      <c r="U27" s="74"/>
      <c r="V27" s="74"/>
      <c r="W27" s="74"/>
      <c r="X27" s="74"/>
      <c r="Y27" s="75"/>
      <c r="Z27" s="73"/>
      <c r="AA27" s="74"/>
      <c r="AB27" s="74"/>
      <c r="AC27" s="74"/>
      <c r="AD27" s="74"/>
      <c r="AE27" s="74"/>
      <c r="AF27" s="74"/>
      <c r="AG27" s="74"/>
      <c r="AH27" s="74"/>
      <c r="AI27" s="74"/>
      <c r="AJ27" s="74"/>
      <c r="AK27" s="74"/>
      <c r="AL27" s="74"/>
      <c r="AM27" s="74"/>
      <c r="AN27" s="74"/>
      <c r="AO27" s="74"/>
      <c r="AP27" s="74"/>
      <c r="AQ27" s="74"/>
      <c r="AR27" s="74"/>
      <c r="AS27" s="75"/>
      <c r="AT27" s="73"/>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5"/>
    </row>
    <row r="28" spans="1:73" ht="15.75" customHeight="1" x14ac:dyDescent="0.15">
      <c r="A28" s="7"/>
      <c r="B28" s="76">
        <v>13</v>
      </c>
      <c r="C28" s="148" t="str">
        <f>IF('INPUT DATA'!L23="","",'INPUT DATA'!L23)</f>
        <v/>
      </c>
      <c r="D28" s="139"/>
      <c r="E28" s="146"/>
      <c r="F28" s="149" t="str">
        <f>IF('INPUT DATA'!M23="","",'INPUT DATA'!M23)</f>
        <v/>
      </c>
      <c r="G28" s="150"/>
      <c r="H28" s="63" t="str">
        <f>IF('INPUT DATA'!N23="","",'INPUT DATA'!N23)</f>
        <v/>
      </c>
      <c r="I28" s="71" t="str">
        <f t="shared" si="0"/>
        <v/>
      </c>
      <c r="J28" s="71" t="str">
        <f t="shared" si="1"/>
        <v/>
      </c>
      <c r="K28" s="71" t="str">
        <f t="shared" si="2"/>
        <v/>
      </c>
      <c r="L28" s="71" t="str">
        <f t="shared" si="3"/>
        <v/>
      </c>
      <c r="M28" s="80" t="s">
        <v>47</v>
      </c>
      <c r="N28" s="73"/>
      <c r="O28" s="74"/>
      <c r="P28" s="74"/>
      <c r="Q28" s="74"/>
      <c r="R28" s="74"/>
      <c r="S28" s="74"/>
      <c r="T28" s="74"/>
      <c r="U28" s="74"/>
      <c r="V28" s="74"/>
      <c r="W28" s="74"/>
      <c r="X28" s="74"/>
      <c r="Y28" s="75"/>
      <c r="Z28" s="73"/>
      <c r="AA28" s="74"/>
      <c r="AB28" s="74"/>
      <c r="AC28" s="74"/>
      <c r="AD28" s="74"/>
      <c r="AE28" s="74"/>
      <c r="AF28" s="74"/>
      <c r="AG28" s="74"/>
      <c r="AH28" s="74"/>
      <c r="AI28" s="74"/>
      <c r="AJ28" s="74"/>
      <c r="AK28" s="74"/>
      <c r="AL28" s="74"/>
      <c r="AM28" s="74"/>
      <c r="AN28" s="74"/>
      <c r="AO28" s="74"/>
      <c r="AP28" s="74"/>
      <c r="AQ28" s="74"/>
      <c r="AR28" s="74"/>
      <c r="AS28" s="75"/>
      <c r="AT28" s="73"/>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5"/>
    </row>
    <row r="29" spans="1:73" ht="15.75" customHeight="1" x14ac:dyDescent="0.15">
      <c r="A29" s="7"/>
      <c r="B29" s="76">
        <v>14</v>
      </c>
      <c r="C29" s="148" t="str">
        <f>IF('INPUT DATA'!L24="","",'INPUT DATA'!L24)</f>
        <v/>
      </c>
      <c r="D29" s="139"/>
      <c r="E29" s="146"/>
      <c r="F29" s="149" t="str">
        <f>IF('INPUT DATA'!M24="","",'INPUT DATA'!M24)</f>
        <v/>
      </c>
      <c r="G29" s="150"/>
      <c r="H29" s="63" t="str">
        <f>IF('INPUT DATA'!N24="","",'INPUT DATA'!N24)</f>
        <v/>
      </c>
      <c r="I29" s="71" t="str">
        <f t="shared" si="0"/>
        <v/>
      </c>
      <c r="J29" s="71" t="str">
        <f t="shared" si="1"/>
        <v/>
      </c>
      <c r="K29" s="71" t="str">
        <f t="shared" si="2"/>
        <v/>
      </c>
      <c r="L29" s="71" t="str">
        <f t="shared" si="3"/>
        <v/>
      </c>
      <c r="M29" s="80" t="s">
        <v>47</v>
      </c>
      <c r="N29" s="73"/>
      <c r="O29" s="74"/>
      <c r="P29" s="74"/>
      <c r="Q29" s="74"/>
      <c r="R29" s="74"/>
      <c r="S29" s="74"/>
      <c r="T29" s="74"/>
      <c r="U29" s="74"/>
      <c r="V29" s="74"/>
      <c r="W29" s="74"/>
      <c r="X29" s="74"/>
      <c r="Y29" s="75"/>
      <c r="Z29" s="73"/>
      <c r="AA29" s="74"/>
      <c r="AB29" s="74"/>
      <c r="AC29" s="74"/>
      <c r="AD29" s="74"/>
      <c r="AE29" s="74"/>
      <c r="AF29" s="74"/>
      <c r="AG29" s="74"/>
      <c r="AH29" s="74"/>
      <c r="AI29" s="74"/>
      <c r="AJ29" s="74"/>
      <c r="AK29" s="74"/>
      <c r="AL29" s="74"/>
      <c r="AM29" s="74"/>
      <c r="AN29" s="74"/>
      <c r="AO29" s="74"/>
      <c r="AP29" s="74"/>
      <c r="AQ29" s="74"/>
      <c r="AR29" s="74"/>
      <c r="AS29" s="75"/>
      <c r="AT29" s="73"/>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5"/>
    </row>
    <row r="30" spans="1:73" ht="15.75" customHeight="1" x14ac:dyDescent="0.15">
      <c r="A30" s="7"/>
      <c r="B30" s="76">
        <v>15</v>
      </c>
      <c r="C30" s="148" t="str">
        <f>IF('INPUT DATA'!L25="","",'INPUT DATA'!L25)</f>
        <v/>
      </c>
      <c r="D30" s="139"/>
      <c r="E30" s="146"/>
      <c r="F30" s="149" t="str">
        <f>IF('INPUT DATA'!M25="","",'INPUT DATA'!M25)</f>
        <v/>
      </c>
      <c r="G30" s="150"/>
      <c r="H30" s="63" t="str">
        <f>IF('INPUT DATA'!N25="","",'INPUT DATA'!N25)</f>
        <v/>
      </c>
      <c r="I30" s="71" t="str">
        <f t="shared" si="0"/>
        <v/>
      </c>
      <c r="J30" s="71" t="str">
        <f t="shared" si="1"/>
        <v/>
      </c>
      <c r="K30" s="71" t="str">
        <f t="shared" si="2"/>
        <v/>
      </c>
      <c r="L30" s="71" t="str">
        <f t="shared" si="3"/>
        <v/>
      </c>
      <c r="M30" s="80" t="s">
        <v>47</v>
      </c>
      <c r="N30" s="73"/>
      <c r="O30" s="74"/>
      <c r="P30" s="74"/>
      <c r="Q30" s="74"/>
      <c r="R30" s="74"/>
      <c r="S30" s="74"/>
      <c r="T30" s="74"/>
      <c r="U30" s="74"/>
      <c r="V30" s="74"/>
      <c r="W30" s="74"/>
      <c r="X30" s="74"/>
      <c r="Y30" s="75"/>
      <c r="Z30" s="73"/>
      <c r="AA30" s="74"/>
      <c r="AB30" s="74"/>
      <c r="AC30" s="74"/>
      <c r="AD30" s="74"/>
      <c r="AE30" s="74"/>
      <c r="AF30" s="74"/>
      <c r="AG30" s="74"/>
      <c r="AH30" s="74"/>
      <c r="AI30" s="74"/>
      <c r="AJ30" s="74"/>
      <c r="AK30" s="74"/>
      <c r="AL30" s="74"/>
      <c r="AM30" s="74"/>
      <c r="AN30" s="74"/>
      <c r="AO30" s="74"/>
      <c r="AP30" s="74"/>
      <c r="AQ30" s="74"/>
      <c r="AR30" s="74"/>
      <c r="AS30" s="75"/>
      <c r="AT30" s="73"/>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5"/>
    </row>
    <row r="31" spans="1:73" ht="15.75" customHeight="1" x14ac:dyDescent="0.15">
      <c r="A31" s="7"/>
      <c r="B31" s="76">
        <v>16</v>
      </c>
      <c r="C31" s="148" t="str">
        <f>IF('INPUT DATA'!L26="","",'INPUT DATA'!L26)</f>
        <v/>
      </c>
      <c r="D31" s="139"/>
      <c r="E31" s="146"/>
      <c r="F31" s="149" t="str">
        <f>IF('INPUT DATA'!M26="","",'INPUT DATA'!M26)</f>
        <v/>
      </c>
      <c r="G31" s="150"/>
      <c r="H31" s="63" t="str">
        <f>IF('INPUT DATA'!N26="","",'INPUT DATA'!N26)</f>
        <v/>
      </c>
      <c r="I31" s="71" t="str">
        <f t="shared" si="0"/>
        <v/>
      </c>
      <c r="J31" s="71" t="str">
        <f t="shared" si="1"/>
        <v/>
      </c>
      <c r="K31" s="71" t="str">
        <f t="shared" si="2"/>
        <v/>
      </c>
      <c r="L31" s="71" t="str">
        <f t="shared" si="3"/>
        <v/>
      </c>
      <c r="M31" s="80" t="s">
        <v>47</v>
      </c>
      <c r="N31" s="73"/>
      <c r="O31" s="74"/>
      <c r="P31" s="74"/>
      <c r="Q31" s="74"/>
      <c r="R31" s="74"/>
      <c r="S31" s="74"/>
      <c r="T31" s="74"/>
      <c r="U31" s="74"/>
      <c r="V31" s="74"/>
      <c r="W31" s="74"/>
      <c r="X31" s="74"/>
      <c r="Y31" s="75"/>
      <c r="Z31" s="73"/>
      <c r="AA31" s="74"/>
      <c r="AB31" s="74"/>
      <c r="AC31" s="74"/>
      <c r="AD31" s="74"/>
      <c r="AE31" s="74"/>
      <c r="AF31" s="74"/>
      <c r="AG31" s="74"/>
      <c r="AH31" s="74"/>
      <c r="AI31" s="74"/>
      <c r="AJ31" s="74"/>
      <c r="AK31" s="74"/>
      <c r="AL31" s="74"/>
      <c r="AM31" s="74"/>
      <c r="AN31" s="74"/>
      <c r="AO31" s="74"/>
      <c r="AP31" s="74"/>
      <c r="AQ31" s="74"/>
      <c r="AR31" s="74"/>
      <c r="AS31" s="75"/>
      <c r="AT31" s="73"/>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5"/>
    </row>
    <row r="32" spans="1:73" ht="15.75" customHeight="1" x14ac:dyDescent="0.15">
      <c r="A32" s="7"/>
      <c r="B32" s="76">
        <v>17</v>
      </c>
      <c r="C32" s="148" t="str">
        <f>IF('INPUT DATA'!L27="","",'INPUT DATA'!L27)</f>
        <v/>
      </c>
      <c r="D32" s="139"/>
      <c r="E32" s="146"/>
      <c r="F32" s="149" t="str">
        <f>IF('INPUT DATA'!M27="","",'INPUT DATA'!M27)</f>
        <v/>
      </c>
      <c r="G32" s="150"/>
      <c r="H32" s="63" t="str">
        <f>IF('INPUT DATA'!N27="","",'INPUT DATA'!N27)</f>
        <v/>
      </c>
      <c r="I32" s="71" t="str">
        <f t="shared" si="0"/>
        <v/>
      </c>
      <c r="J32" s="71" t="str">
        <f t="shared" si="1"/>
        <v/>
      </c>
      <c r="K32" s="71" t="str">
        <f t="shared" si="2"/>
        <v/>
      </c>
      <c r="L32" s="71" t="str">
        <f t="shared" si="3"/>
        <v/>
      </c>
      <c r="M32" s="80" t="s">
        <v>47</v>
      </c>
      <c r="N32" s="73"/>
      <c r="O32" s="74"/>
      <c r="P32" s="74"/>
      <c r="Q32" s="74"/>
      <c r="R32" s="74"/>
      <c r="S32" s="74"/>
      <c r="T32" s="74"/>
      <c r="U32" s="74"/>
      <c r="V32" s="74"/>
      <c r="W32" s="74"/>
      <c r="X32" s="74"/>
      <c r="Y32" s="75"/>
      <c r="Z32" s="73"/>
      <c r="AA32" s="74"/>
      <c r="AB32" s="74"/>
      <c r="AC32" s="74"/>
      <c r="AD32" s="74"/>
      <c r="AE32" s="74"/>
      <c r="AF32" s="74"/>
      <c r="AG32" s="74"/>
      <c r="AH32" s="74"/>
      <c r="AI32" s="74"/>
      <c r="AJ32" s="74"/>
      <c r="AK32" s="74"/>
      <c r="AL32" s="74"/>
      <c r="AM32" s="74"/>
      <c r="AN32" s="74"/>
      <c r="AO32" s="74"/>
      <c r="AP32" s="74"/>
      <c r="AQ32" s="74"/>
      <c r="AR32" s="74"/>
      <c r="AS32" s="75"/>
      <c r="AT32" s="73"/>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5"/>
    </row>
    <row r="33" spans="1:73" ht="15.75" customHeight="1" x14ac:dyDescent="0.15">
      <c r="A33" s="7"/>
      <c r="B33" s="76">
        <v>18</v>
      </c>
      <c r="C33" s="148" t="str">
        <f>IF('INPUT DATA'!L28="","",'INPUT DATA'!L28)</f>
        <v/>
      </c>
      <c r="D33" s="139"/>
      <c r="E33" s="146"/>
      <c r="F33" s="149" t="str">
        <f>IF('INPUT DATA'!M28="","",'INPUT DATA'!M28)</f>
        <v/>
      </c>
      <c r="G33" s="150"/>
      <c r="H33" s="63" t="str">
        <f>IF('INPUT DATA'!N28="","",'INPUT DATA'!N28)</f>
        <v/>
      </c>
      <c r="I33" s="71" t="str">
        <f t="shared" si="0"/>
        <v/>
      </c>
      <c r="J33" s="71" t="str">
        <f t="shared" si="1"/>
        <v/>
      </c>
      <c r="K33" s="71" t="str">
        <f t="shared" si="2"/>
        <v/>
      </c>
      <c r="L33" s="71" t="str">
        <f t="shared" si="3"/>
        <v/>
      </c>
      <c r="M33" s="80" t="s">
        <v>47</v>
      </c>
      <c r="N33" s="73"/>
      <c r="O33" s="74"/>
      <c r="P33" s="74"/>
      <c r="Q33" s="74"/>
      <c r="R33" s="74"/>
      <c r="S33" s="74"/>
      <c r="T33" s="74"/>
      <c r="U33" s="74"/>
      <c r="V33" s="74"/>
      <c r="W33" s="74"/>
      <c r="X33" s="74"/>
      <c r="Y33" s="75"/>
      <c r="Z33" s="73"/>
      <c r="AA33" s="74"/>
      <c r="AB33" s="74"/>
      <c r="AC33" s="74"/>
      <c r="AD33" s="74"/>
      <c r="AE33" s="74"/>
      <c r="AF33" s="74"/>
      <c r="AG33" s="74"/>
      <c r="AH33" s="74"/>
      <c r="AI33" s="74"/>
      <c r="AJ33" s="74"/>
      <c r="AK33" s="74"/>
      <c r="AL33" s="74"/>
      <c r="AM33" s="74"/>
      <c r="AN33" s="74"/>
      <c r="AO33" s="74"/>
      <c r="AP33" s="74"/>
      <c r="AQ33" s="74"/>
      <c r="AR33" s="74"/>
      <c r="AS33" s="75"/>
      <c r="AT33" s="73"/>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5"/>
    </row>
    <row r="34" spans="1:73" ht="15.75" customHeight="1" x14ac:dyDescent="0.15">
      <c r="A34" s="7"/>
      <c r="B34" s="76">
        <v>19</v>
      </c>
      <c r="C34" s="148" t="str">
        <f>IF('INPUT DATA'!L29="","",'INPUT DATA'!L29)</f>
        <v/>
      </c>
      <c r="D34" s="139"/>
      <c r="E34" s="146"/>
      <c r="F34" s="149" t="str">
        <f>IF('INPUT DATA'!M29="","",'INPUT DATA'!M29)</f>
        <v/>
      </c>
      <c r="G34" s="150"/>
      <c r="H34" s="63" t="str">
        <f>IF('INPUT DATA'!N29="","",'INPUT DATA'!N29)</f>
        <v/>
      </c>
      <c r="I34" s="71" t="str">
        <f t="shared" si="0"/>
        <v/>
      </c>
      <c r="J34" s="71" t="str">
        <f t="shared" si="1"/>
        <v/>
      </c>
      <c r="K34" s="71" t="str">
        <f t="shared" si="2"/>
        <v/>
      </c>
      <c r="L34" s="71" t="str">
        <f t="shared" si="3"/>
        <v/>
      </c>
      <c r="M34" s="80" t="s">
        <v>47</v>
      </c>
      <c r="N34" s="73"/>
      <c r="O34" s="74"/>
      <c r="P34" s="74"/>
      <c r="Q34" s="74"/>
      <c r="R34" s="74"/>
      <c r="S34" s="74"/>
      <c r="T34" s="74"/>
      <c r="U34" s="74"/>
      <c r="V34" s="74"/>
      <c r="W34" s="74"/>
      <c r="X34" s="74"/>
      <c r="Y34" s="75"/>
      <c r="Z34" s="73"/>
      <c r="AA34" s="74"/>
      <c r="AB34" s="74"/>
      <c r="AC34" s="74"/>
      <c r="AD34" s="74"/>
      <c r="AE34" s="74"/>
      <c r="AF34" s="74"/>
      <c r="AG34" s="74"/>
      <c r="AH34" s="74"/>
      <c r="AI34" s="74"/>
      <c r="AJ34" s="74"/>
      <c r="AK34" s="74"/>
      <c r="AL34" s="74"/>
      <c r="AM34" s="74"/>
      <c r="AN34" s="74"/>
      <c r="AO34" s="74"/>
      <c r="AP34" s="74"/>
      <c r="AQ34" s="74"/>
      <c r="AR34" s="74"/>
      <c r="AS34" s="75"/>
      <c r="AT34" s="73"/>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5"/>
    </row>
    <row r="35" spans="1:73" ht="15.75" customHeight="1" x14ac:dyDescent="0.15">
      <c r="A35" s="7"/>
      <c r="B35" s="76">
        <v>20</v>
      </c>
      <c r="C35" s="148" t="str">
        <f>IF('INPUT DATA'!L30="","",'INPUT DATA'!L30)</f>
        <v/>
      </c>
      <c r="D35" s="139"/>
      <c r="E35" s="146"/>
      <c r="F35" s="149" t="str">
        <f>IF('INPUT DATA'!M30="","",'INPUT DATA'!M30)</f>
        <v/>
      </c>
      <c r="G35" s="150"/>
      <c r="H35" s="63" t="str">
        <f>IF('INPUT DATA'!N30="","",'INPUT DATA'!N30)</f>
        <v/>
      </c>
      <c r="I35" s="71" t="str">
        <f t="shared" si="0"/>
        <v/>
      </c>
      <c r="J35" s="71" t="str">
        <f t="shared" si="1"/>
        <v/>
      </c>
      <c r="K35" s="71" t="str">
        <f t="shared" si="2"/>
        <v/>
      </c>
      <c r="L35" s="71" t="str">
        <f t="shared" si="3"/>
        <v/>
      </c>
      <c r="M35" s="80" t="s">
        <v>47</v>
      </c>
      <c r="N35" s="73"/>
      <c r="O35" s="74"/>
      <c r="P35" s="74"/>
      <c r="Q35" s="74"/>
      <c r="R35" s="74"/>
      <c r="S35" s="74"/>
      <c r="T35" s="74"/>
      <c r="U35" s="74"/>
      <c r="V35" s="74"/>
      <c r="W35" s="74"/>
      <c r="X35" s="74"/>
      <c r="Y35" s="75"/>
      <c r="Z35" s="73"/>
      <c r="AA35" s="74"/>
      <c r="AB35" s="74"/>
      <c r="AC35" s="74"/>
      <c r="AD35" s="74"/>
      <c r="AE35" s="74"/>
      <c r="AF35" s="74"/>
      <c r="AG35" s="74"/>
      <c r="AH35" s="74"/>
      <c r="AI35" s="74"/>
      <c r="AJ35" s="74"/>
      <c r="AK35" s="74"/>
      <c r="AL35" s="74"/>
      <c r="AM35" s="74"/>
      <c r="AN35" s="74"/>
      <c r="AO35" s="74"/>
      <c r="AP35" s="74"/>
      <c r="AQ35" s="74"/>
      <c r="AR35" s="74"/>
      <c r="AS35" s="75"/>
      <c r="AT35" s="73"/>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5"/>
    </row>
    <row r="36" spans="1:73" ht="15.75" customHeight="1" x14ac:dyDescent="0.15">
      <c r="A36" s="7"/>
      <c r="B36" s="76">
        <v>21</v>
      </c>
      <c r="C36" s="148" t="str">
        <f>IF('INPUT DATA'!L31="","",'INPUT DATA'!L31)</f>
        <v/>
      </c>
      <c r="D36" s="139"/>
      <c r="E36" s="146"/>
      <c r="F36" s="149" t="str">
        <f>IF('INPUT DATA'!M31="","",'INPUT DATA'!M31)</f>
        <v/>
      </c>
      <c r="G36" s="150"/>
      <c r="H36" s="63" t="str">
        <f>IF('INPUT DATA'!N31="","",'INPUT DATA'!N31)</f>
        <v/>
      </c>
      <c r="I36" s="71" t="str">
        <f t="shared" si="0"/>
        <v/>
      </c>
      <c r="J36" s="71" t="str">
        <f t="shared" si="1"/>
        <v/>
      </c>
      <c r="K36" s="71" t="str">
        <f t="shared" si="2"/>
        <v/>
      </c>
      <c r="L36" s="71" t="str">
        <f t="shared" si="3"/>
        <v/>
      </c>
      <c r="M36" s="80" t="s">
        <v>47</v>
      </c>
      <c r="N36" s="73"/>
      <c r="O36" s="74"/>
      <c r="P36" s="74"/>
      <c r="Q36" s="74"/>
      <c r="R36" s="74"/>
      <c r="S36" s="74"/>
      <c r="T36" s="74"/>
      <c r="U36" s="74"/>
      <c r="V36" s="74"/>
      <c r="W36" s="74"/>
      <c r="X36" s="74"/>
      <c r="Y36" s="75"/>
      <c r="Z36" s="73"/>
      <c r="AA36" s="74"/>
      <c r="AB36" s="74"/>
      <c r="AC36" s="74"/>
      <c r="AD36" s="74"/>
      <c r="AE36" s="74"/>
      <c r="AF36" s="74"/>
      <c r="AG36" s="74"/>
      <c r="AH36" s="74"/>
      <c r="AI36" s="74"/>
      <c r="AJ36" s="74"/>
      <c r="AK36" s="74"/>
      <c r="AL36" s="74"/>
      <c r="AM36" s="74"/>
      <c r="AN36" s="74"/>
      <c r="AO36" s="74"/>
      <c r="AP36" s="74"/>
      <c r="AQ36" s="74"/>
      <c r="AR36" s="74"/>
      <c r="AS36" s="75"/>
      <c r="AT36" s="73"/>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5"/>
    </row>
    <row r="37" spans="1:73" ht="15.75" customHeight="1" x14ac:dyDescent="0.15">
      <c r="A37" s="7"/>
      <c r="B37" s="76">
        <v>22</v>
      </c>
      <c r="C37" s="148" t="str">
        <f>IF('INPUT DATA'!L32="","",'INPUT DATA'!L32)</f>
        <v/>
      </c>
      <c r="D37" s="139"/>
      <c r="E37" s="146"/>
      <c r="F37" s="149" t="str">
        <f>IF('INPUT DATA'!M32="","",'INPUT DATA'!M32)</f>
        <v/>
      </c>
      <c r="G37" s="150"/>
      <c r="H37" s="63" t="str">
        <f>IF('INPUT DATA'!N32="","",'INPUT DATA'!N32)</f>
        <v/>
      </c>
      <c r="I37" s="71" t="str">
        <f t="shared" si="0"/>
        <v/>
      </c>
      <c r="J37" s="71" t="str">
        <f t="shared" si="1"/>
        <v/>
      </c>
      <c r="K37" s="71" t="str">
        <f t="shared" si="2"/>
        <v/>
      </c>
      <c r="L37" s="71" t="str">
        <f t="shared" si="3"/>
        <v/>
      </c>
      <c r="M37" s="80" t="s">
        <v>47</v>
      </c>
      <c r="N37" s="73"/>
      <c r="O37" s="74"/>
      <c r="P37" s="74"/>
      <c r="Q37" s="74"/>
      <c r="R37" s="74"/>
      <c r="S37" s="74"/>
      <c r="T37" s="74"/>
      <c r="U37" s="74"/>
      <c r="V37" s="74"/>
      <c r="W37" s="74"/>
      <c r="X37" s="74"/>
      <c r="Y37" s="75"/>
      <c r="Z37" s="73"/>
      <c r="AA37" s="74"/>
      <c r="AB37" s="74"/>
      <c r="AC37" s="74"/>
      <c r="AD37" s="74"/>
      <c r="AE37" s="74"/>
      <c r="AF37" s="74"/>
      <c r="AG37" s="74"/>
      <c r="AH37" s="74"/>
      <c r="AI37" s="74"/>
      <c r="AJ37" s="74"/>
      <c r="AK37" s="74"/>
      <c r="AL37" s="74"/>
      <c r="AM37" s="74"/>
      <c r="AN37" s="74"/>
      <c r="AO37" s="74"/>
      <c r="AP37" s="74"/>
      <c r="AQ37" s="74"/>
      <c r="AR37" s="74"/>
      <c r="AS37" s="75"/>
      <c r="AT37" s="73"/>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5"/>
    </row>
    <row r="38" spans="1:73" ht="15.75" customHeight="1" x14ac:dyDescent="0.15">
      <c r="A38" s="7"/>
      <c r="B38" s="76">
        <v>23</v>
      </c>
      <c r="C38" s="148" t="str">
        <f>IF('INPUT DATA'!L33="","",'INPUT DATA'!L33)</f>
        <v/>
      </c>
      <c r="D38" s="139"/>
      <c r="E38" s="146"/>
      <c r="F38" s="149" t="str">
        <f>IF('INPUT DATA'!M33="","",'INPUT DATA'!M33)</f>
        <v/>
      </c>
      <c r="G38" s="150"/>
      <c r="H38" s="63" t="str">
        <f>IF('INPUT DATA'!N33="","",'INPUT DATA'!N33)</f>
        <v/>
      </c>
      <c r="I38" s="71" t="str">
        <f t="shared" si="0"/>
        <v/>
      </c>
      <c r="J38" s="71" t="str">
        <f t="shared" si="1"/>
        <v/>
      </c>
      <c r="K38" s="71" t="str">
        <f t="shared" si="2"/>
        <v/>
      </c>
      <c r="L38" s="71" t="str">
        <f t="shared" si="3"/>
        <v/>
      </c>
      <c r="M38" s="80" t="s">
        <v>47</v>
      </c>
      <c r="N38" s="73"/>
      <c r="O38" s="74"/>
      <c r="P38" s="74"/>
      <c r="Q38" s="74"/>
      <c r="R38" s="74"/>
      <c r="S38" s="74"/>
      <c r="T38" s="74"/>
      <c r="U38" s="74"/>
      <c r="V38" s="74"/>
      <c r="W38" s="74"/>
      <c r="X38" s="74"/>
      <c r="Y38" s="75"/>
      <c r="Z38" s="73"/>
      <c r="AA38" s="74"/>
      <c r="AB38" s="74"/>
      <c r="AC38" s="74"/>
      <c r="AD38" s="74"/>
      <c r="AE38" s="74"/>
      <c r="AF38" s="74"/>
      <c r="AG38" s="74"/>
      <c r="AH38" s="74"/>
      <c r="AI38" s="74"/>
      <c r="AJ38" s="74"/>
      <c r="AK38" s="74"/>
      <c r="AL38" s="74"/>
      <c r="AM38" s="74"/>
      <c r="AN38" s="74"/>
      <c r="AO38" s="74"/>
      <c r="AP38" s="74"/>
      <c r="AQ38" s="74"/>
      <c r="AR38" s="74"/>
      <c r="AS38" s="75"/>
      <c r="AT38" s="73"/>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5"/>
    </row>
    <row r="39" spans="1:73" ht="15.75" customHeight="1" x14ac:dyDescent="0.15">
      <c r="A39" s="7"/>
      <c r="B39" s="76">
        <v>24</v>
      </c>
      <c r="C39" s="148" t="str">
        <f>IF('INPUT DATA'!L34="","",'INPUT DATA'!L34)</f>
        <v/>
      </c>
      <c r="D39" s="139"/>
      <c r="E39" s="146"/>
      <c r="F39" s="149" t="str">
        <f>IF('INPUT DATA'!M34="","",'INPUT DATA'!M34)</f>
        <v/>
      </c>
      <c r="G39" s="150"/>
      <c r="H39" s="63" t="str">
        <f>IF('INPUT DATA'!N34="","",'INPUT DATA'!N34)</f>
        <v/>
      </c>
      <c r="I39" s="71" t="str">
        <f t="shared" si="0"/>
        <v/>
      </c>
      <c r="J39" s="71" t="str">
        <f t="shared" si="1"/>
        <v/>
      </c>
      <c r="K39" s="71" t="str">
        <f t="shared" si="2"/>
        <v/>
      </c>
      <c r="L39" s="71" t="str">
        <f t="shared" si="3"/>
        <v/>
      </c>
      <c r="M39" s="80" t="s">
        <v>47</v>
      </c>
      <c r="N39" s="73"/>
      <c r="O39" s="74"/>
      <c r="P39" s="74"/>
      <c r="Q39" s="74"/>
      <c r="R39" s="74"/>
      <c r="S39" s="74"/>
      <c r="T39" s="74"/>
      <c r="U39" s="74"/>
      <c r="V39" s="74"/>
      <c r="W39" s="74"/>
      <c r="X39" s="74"/>
      <c r="Y39" s="75"/>
      <c r="Z39" s="73"/>
      <c r="AA39" s="74"/>
      <c r="AB39" s="74"/>
      <c r="AC39" s="74"/>
      <c r="AD39" s="74"/>
      <c r="AE39" s="74"/>
      <c r="AF39" s="74"/>
      <c r="AG39" s="74"/>
      <c r="AH39" s="74"/>
      <c r="AI39" s="74"/>
      <c r="AJ39" s="74"/>
      <c r="AK39" s="74"/>
      <c r="AL39" s="74"/>
      <c r="AM39" s="74"/>
      <c r="AN39" s="74"/>
      <c r="AO39" s="74"/>
      <c r="AP39" s="74"/>
      <c r="AQ39" s="74"/>
      <c r="AR39" s="74"/>
      <c r="AS39" s="75"/>
      <c r="AT39" s="73"/>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5"/>
    </row>
    <row r="40" spans="1:73" ht="15.75" customHeight="1" x14ac:dyDescent="0.15">
      <c r="A40" s="7"/>
      <c r="B40" s="76">
        <v>25</v>
      </c>
      <c r="C40" s="148" t="str">
        <f>IF('INPUT DATA'!L35="","",'INPUT DATA'!L35)</f>
        <v/>
      </c>
      <c r="D40" s="139"/>
      <c r="E40" s="146"/>
      <c r="F40" s="149" t="str">
        <f>IF('INPUT DATA'!M35="","",'INPUT DATA'!M35)</f>
        <v/>
      </c>
      <c r="G40" s="150"/>
      <c r="H40" s="63" t="str">
        <f>IF('INPUT DATA'!N35="","",'INPUT DATA'!N35)</f>
        <v/>
      </c>
      <c r="I40" s="71" t="str">
        <f t="shared" si="0"/>
        <v/>
      </c>
      <c r="J40" s="71" t="str">
        <f t="shared" si="1"/>
        <v/>
      </c>
      <c r="K40" s="71" t="str">
        <f t="shared" si="2"/>
        <v/>
      </c>
      <c r="L40" s="71" t="str">
        <f t="shared" si="3"/>
        <v/>
      </c>
      <c r="M40" s="80" t="s">
        <v>47</v>
      </c>
      <c r="N40" s="73"/>
      <c r="O40" s="74"/>
      <c r="P40" s="74"/>
      <c r="Q40" s="74"/>
      <c r="R40" s="74"/>
      <c r="S40" s="74"/>
      <c r="T40" s="74"/>
      <c r="U40" s="74"/>
      <c r="V40" s="74"/>
      <c r="W40" s="74"/>
      <c r="X40" s="74"/>
      <c r="Y40" s="75"/>
      <c r="Z40" s="73"/>
      <c r="AA40" s="74"/>
      <c r="AB40" s="74"/>
      <c r="AC40" s="74"/>
      <c r="AD40" s="74"/>
      <c r="AE40" s="74"/>
      <c r="AF40" s="74"/>
      <c r="AG40" s="74"/>
      <c r="AH40" s="74"/>
      <c r="AI40" s="74"/>
      <c r="AJ40" s="74"/>
      <c r="AK40" s="74"/>
      <c r="AL40" s="74"/>
      <c r="AM40" s="74"/>
      <c r="AN40" s="74"/>
      <c r="AO40" s="74"/>
      <c r="AP40" s="74"/>
      <c r="AQ40" s="74"/>
      <c r="AR40" s="74"/>
      <c r="AS40" s="75"/>
      <c r="AT40" s="73"/>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5"/>
    </row>
    <row r="41" spans="1:73" ht="15.75" customHeight="1" x14ac:dyDescent="0.15">
      <c r="A41" s="7"/>
      <c r="B41" s="76">
        <v>26</v>
      </c>
      <c r="C41" s="148" t="str">
        <f>IF('INPUT DATA'!L36="","",'INPUT DATA'!L36)</f>
        <v/>
      </c>
      <c r="D41" s="139"/>
      <c r="E41" s="146"/>
      <c r="F41" s="149" t="str">
        <f>IF('INPUT DATA'!M36="","",'INPUT DATA'!M36)</f>
        <v/>
      </c>
      <c r="G41" s="150"/>
      <c r="H41" s="63" t="str">
        <f>IF('INPUT DATA'!N36="","",'INPUT DATA'!N36)</f>
        <v/>
      </c>
      <c r="I41" s="71" t="str">
        <f t="shared" si="0"/>
        <v/>
      </c>
      <c r="J41" s="71" t="str">
        <f t="shared" si="1"/>
        <v/>
      </c>
      <c r="K41" s="71" t="str">
        <f t="shared" si="2"/>
        <v/>
      </c>
      <c r="L41" s="71" t="str">
        <f t="shared" si="3"/>
        <v/>
      </c>
      <c r="M41" s="80" t="s">
        <v>47</v>
      </c>
      <c r="N41" s="73"/>
      <c r="O41" s="74"/>
      <c r="P41" s="74"/>
      <c r="Q41" s="74"/>
      <c r="R41" s="74"/>
      <c r="S41" s="74"/>
      <c r="T41" s="74"/>
      <c r="U41" s="74"/>
      <c r="V41" s="74"/>
      <c r="W41" s="74"/>
      <c r="X41" s="74"/>
      <c r="Y41" s="75"/>
      <c r="Z41" s="73"/>
      <c r="AA41" s="74"/>
      <c r="AB41" s="74"/>
      <c r="AC41" s="74"/>
      <c r="AD41" s="74"/>
      <c r="AE41" s="74"/>
      <c r="AF41" s="74"/>
      <c r="AG41" s="74"/>
      <c r="AH41" s="74"/>
      <c r="AI41" s="74"/>
      <c r="AJ41" s="74"/>
      <c r="AK41" s="74"/>
      <c r="AL41" s="74"/>
      <c r="AM41" s="74"/>
      <c r="AN41" s="74"/>
      <c r="AO41" s="74"/>
      <c r="AP41" s="74"/>
      <c r="AQ41" s="74"/>
      <c r="AR41" s="74"/>
      <c r="AS41" s="75"/>
      <c r="AT41" s="73"/>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5"/>
    </row>
    <row r="42" spans="1:73" ht="15.75" customHeight="1" x14ac:dyDescent="0.15">
      <c r="A42" s="7"/>
      <c r="B42" s="76">
        <v>27</v>
      </c>
      <c r="C42" s="148" t="str">
        <f>IF('INPUT DATA'!L37="","",'INPUT DATA'!L37)</f>
        <v/>
      </c>
      <c r="D42" s="139"/>
      <c r="E42" s="146"/>
      <c r="F42" s="149" t="str">
        <f>IF('INPUT DATA'!M37="","",'INPUT DATA'!M37)</f>
        <v/>
      </c>
      <c r="G42" s="150"/>
      <c r="H42" s="63" t="str">
        <f>IF('INPUT DATA'!N37="","",'INPUT DATA'!N37)</f>
        <v/>
      </c>
      <c r="I42" s="71" t="str">
        <f t="shared" si="0"/>
        <v/>
      </c>
      <c r="J42" s="71" t="str">
        <f t="shared" si="1"/>
        <v/>
      </c>
      <c r="K42" s="71" t="str">
        <f t="shared" si="2"/>
        <v/>
      </c>
      <c r="L42" s="71" t="str">
        <f t="shared" si="3"/>
        <v/>
      </c>
      <c r="M42" s="80" t="s">
        <v>47</v>
      </c>
      <c r="N42" s="73"/>
      <c r="O42" s="74"/>
      <c r="P42" s="74"/>
      <c r="Q42" s="74"/>
      <c r="R42" s="74"/>
      <c r="S42" s="74"/>
      <c r="T42" s="74"/>
      <c r="U42" s="74"/>
      <c r="V42" s="74"/>
      <c r="W42" s="74"/>
      <c r="X42" s="74"/>
      <c r="Y42" s="75"/>
      <c r="Z42" s="73"/>
      <c r="AA42" s="74"/>
      <c r="AB42" s="74"/>
      <c r="AC42" s="74"/>
      <c r="AD42" s="74"/>
      <c r="AE42" s="74"/>
      <c r="AF42" s="74"/>
      <c r="AG42" s="74"/>
      <c r="AH42" s="74"/>
      <c r="AI42" s="74"/>
      <c r="AJ42" s="74"/>
      <c r="AK42" s="74"/>
      <c r="AL42" s="74"/>
      <c r="AM42" s="74"/>
      <c r="AN42" s="74"/>
      <c r="AO42" s="74"/>
      <c r="AP42" s="74"/>
      <c r="AQ42" s="74"/>
      <c r="AR42" s="74"/>
      <c r="AS42" s="75"/>
      <c r="AT42" s="73"/>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5"/>
    </row>
    <row r="43" spans="1:73" ht="15.75" customHeight="1" x14ac:dyDescent="0.15">
      <c r="A43" s="7"/>
      <c r="B43" s="76">
        <v>28</v>
      </c>
      <c r="C43" s="148" t="str">
        <f>IF('INPUT DATA'!L38="","",'INPUT DATA'!L38)</f>
        <v/>
      </c>
      <c r="D43" s="139"/>
      <c r="E43" s="146"/>
      <c r="F43" s="149" t="str">
        <f>IF('INPUT DATA'!M38="","",'INPUT DATA'!M38)</f>
        <v/>
      </c>
      <c r="G43" s="150"/>
      <c r="H43" s="63" t="str">
        <f>IF('INPUT DATA'!N38="","",'INPUT DATA'!N38)</f>
        <v/>
      </c>
      <c r="I43" s="71" t="str">
        <f t="shared" si="0"/>
        <v/>
      </c>
      <c r="J43" s="71" t="str">
        <f t="shared" si="1"/>
        <v/>
      </c>
      <c r="K43" s="71" t="str">
        <f t="shared" si="2"/>
        <v/>
      </c>
      <c r="L43" s="71" t="str">
        <f t="shared" si="3"/>
        <v/>
      </c>
      <c r="M43" s="80" t="s">
        <v>47</v>
      </c>
      <c r="N43" s="73"/>
      <c r="O43" s="74"/>
      <c r="P43" s="74"/>
      <c r="Q43" s="74"/>
      <c r="R43" s="74"/>
      <c r="S43" s="74"/>
      <c r="T43" s="74"/>
      <c r="U43" s="74"/>
      <c r="V43" s="74"/>
      <c r="W43" s="74"/>
      <c r="X43" s="74"/>
      <c r="Y43" s="75"/>
      <c r="Z43" s="73"/>
      <c r="AA43" s="74"/>
      <c r="AB43" s="74"/>
      <c r="AC43" s="74"/>
      <c r="AD43" s="74"/>
      <c r="AE43" s="74"/>
      <c r="AF43" s="74"/>
      <c r="AG43" s="74"/>
      <c r="AH43" s="74"/>
      <c r="AI43" s="74"/>
      <c r="AJ43" s="74"/>
      <c r="AK43" s="74"/>
      <c r="AL43" s="74"/>
      <c r="AM43" s="74"/>
      <c r="AN43" s="74"/>
      <c r="AO43" s="74"/>
      <c r="AP43" s="74"/>
      <c r="AQ43" s="74"/>
      <c r="AR43" s="74"/>
      <c r="AS43" s="75"/>
      <c r="AT43" s="73"/>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5"/>
    </row>
    <row r="44" spans="1:73" ht="15.75" customHeight="1" x14ac:dyDescent="0.15">
      <c r="A44" s="7"/>
      <c r="B44" s="76">
        <v>29</v>
      </c>
      <c r="C44" s="148" t="str">
        <f>IF('INPUT DATA'!L39="","",'INPUT DATA'!L39)</f>
        <v/>
      </c>
      <c r="D44" s="139"/>
      <c r="E44" s="146"/>
      <c r="F44" s="149" t="str">
        <f>IF('INPUT DATA'!M39="","",'INPUT DATA'!M39)</f>
        <v/>
      </c>
      <c r="G44" s="150"/>
      <c r="H44" s="63" t="str">
        <f>IF('INPUT DATA'!N39="","",'INPUT DATA'!N39)</f>
        <v/>
      </c>
      <c r="I44" s="71" t="str">
        <f t="shared" si="0"/>
        <v/>
      </c>
      <c r="J44" s="71" t="str">
        <f t="shared" si="1"/>
        <v/>
      </c>
      <c r="K44" s="71" t="str">
        <f t="shared" si="2"/>
        <v/>
      </c>
      <c r="L44" s="71" t="str">
        <f t="shared" si="3"/>
        <v/>
      </c>
      <c r="M44" s="80" t="s">
        <v>47</v>
      </c>
      <c r="N44" s="73"/>
      <c r="O44" s="74"/>
      <c r="P44" s="74"/>
      <c r="Q44" s="74"/>
      <c r="R44" s="74"/>
      <c r="S44" s="74"/>
      <c r="T44" s="74"/>
      <c r="U44" s="74"/>
      <c r="V44" s="74"/>
      <c r="W44" s="74"/>
      <c r="X44" s="74"/>
      <c r="Y44" s="75"/>
      <c r="Z44" s="73"/>
      <c r="AA44" s="74"/>
      <c r="AB44" s="74"/>
      <c r="AC44" s="74"/>
      <c r="AD44" s="74"/>
      <c r="AE44" s="74"/>
      <c r="AF44" s="74"/>
      <c r="AG44" s="74"/>
      <c r="AH44" s="74"/>
      <c r="AI44" s="74"/>
      <c r="AJ44" s="74"/>
      <c r="AK44" s="74"/>
      <c r="AL44" s="74"/>
      <c r="AM44" s="74"/>
      <c r="AN44" s="74"/>
      <c r="AO44" s="74"/>
      <c r="AP44" s="74"/>
      <c r="AQ44" s="74"/>
      <c r="AR44" s="74"/>
      <c r="AS44" s="75"/>
      <c r="AT44" s="73"/>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5"/>
    </row>
    <row r="45" spans="1:73" ht="15.75" customHeight="1" x14ac:dyDescent="0.15">
      <c r="A45" s="7"/>
      <c r="B45" s="76">
        <v>31</v>
      </c>
      <c r="C45" s="148" t="str">
        <f>IF('INPUT DATA'!L40="","",'INPUT DATA'!L40)</f>
        <v/>
      </c>
      <c r="D45" s="139"/>
      <c r="E45" s="146"/>
      <c r="F45" s="149" t="str">
        <f>IF('INPUT DATA'!M40="","",'INPUT DATA'!M40)</f>
        <v/>
      </c>
      <c r="G45" s="150"/>
      <c r="H45" s="63" t="str">
        <f>IF('INPUT DATA'!N40="","",'INPUT DATA'!N40)</f>
        <v/>
      </c>
      <c r="I45" s="71" t="str">
        <f t="shared" si="0"/>
        <v/>
      </c>
      <c r="J45" s="71" t="str">
        <f t="shared" si="1"/>
        <v/>
      </c>
      <c r="K45" s="71" t="str">
        <f t="shared" si="2"/>
        <v/>
      </c>
      <c r="L45" s="71" t="str">
        <f t="shared" si="3"/>
        <v/>
      </c>
      <c r="M45" s="80" t="s">
        <v>47</v>
      </c>
      <c r="N45" s="73"/>
      <c r="O45" s="74"/>
      <c r="P45" s="74"/>
      <c r="Q45" s="74"/>
      <c r="R45" s="74"/>
      <c r="S45" s="74"/>
      <c r="T45" s="74"/>
      <c r="U45" s="74"/>
      <c r="V45" s="74"/>
      <c r="W45" s="74"/>
      <c r="X45" s="74"/>
      <c r="Y45" s="75"/>
      <c r="Z45" s="73"/>
      <c r="AA45" s="74"/>
      <c r="AB45" s="74"/>
      <c r="AC45" s="74"/>
      <c r="AD45" s="74"/>
      <c r="AE45" s="74"/>
      <c r="AF45" s="74"/>
      <c r="AG45" s="74"/>
      <c r="AH45" s="74"/>
      <c r="AI45" s="74"/>
      <c r="AJ45" s="74"/>
      <c r="AK45" s="74"/>
      <c r="AL45" s="74"/>
      <c r="AM45" s="74"/>
      <c r="AN45" s="74"/>
      <c r="AO45" s="74"/>
      <c r="AP45" s="74"/>
      <c r="AQ45" s="74"/>
      <c r="AR45" s="74"/>
      <c r="AS45" s="75"/>
      <c r="AT45" s="73"/>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5"/>
    </row>
    <row r="46" spans="1:73" ht="15.75" customHeight="1" x14ac:dyDescent="0.15">
      <c r="A46" s="7"/>
      <c r="B46" s="76">
        <v>32</v>
      </c>
      <c r="C46" s="148" t="str">
        <f>IF('INPUT DATA'!L41="","",'INPUT DATA'!L41)</f>
        <v/>
      </c>
      <c r="D46" s="139"/>
      <c r="E46" s="146"/>
      <c r="F46" s="149" t="str">
        <f>IF('INPUT DATA'!M41="","",'INPUT DATA'!M41)</f>
        <v/>
      </c>
      <c r="G46" s="150"/>
      <c r="H46" s="63" t="str">
        <f>IF('INPUT DATA'!N41="","",'INPUT DATA'!N41)</f>
        <v/>
      </c>
      <c r="I46" s="71" t="str">
        <f t="shared" si="0"/>
        <v/>
      </c>
      <c r="J46" s="71" t="str">
        <f t="shared" si="1"/>
        <v/>
      </c>
      <c r="K46" s="71" t="str">
        <f t="shared" si="2"/>
        <v/>
      </c>
      <c r="L46" s="71" t="str">
        <f t="shared" si="3"/>
        <v/>
      </c>
      <c r="M46" s="80" t="s">
        <v>47</v>
      </c>
      <c r="N46" s="73"/>
      <c r="O46" s="74"/>
      <c r="P46" s="74"/>
      <c r="Q46" s="74"/>
      <c r="R46" s="74"/>
      <c r="S46" s="74"/>
      <c r="T46" s="74"/>
      <c r="U46" s="74"/>
      <c r="V46" s="74"/>
      <c r="W46" s="74"/>
      <c r="X46" s="74"/>
      <c r="Y46" s="75"/>
      <c r="Z46" s="73"/>
      <c r="AA46" s="74"/>
      <c r="AB46" s="74"/>
      <c r="AC46" s="74"/>
      <c r="AD46" s="74"/>
      <c r="AE46" s="74"/>
      <c r="AF46" s="74"/>
      <c r="AG46" s="74"/>
      <c r="AH46" s="74"/>
      <c r="AI46" s="74"/>
      <c r="AJ46" s="74"/>
      <c r="AK46" s="74"/>
      <c r="AL46" s="74"/>
      <c r="AM46" s="74"/>
      <c r="AN46" s="74"/>
      <c r="AO46" s="74"/>
      <c r="AP46" s="74"/>
      <c r="AQ46" s="74"/>
      <c r="AR46" s="74"/>
      <c r="AS46" s="75"/>
      <c r="AT46" s="73"/>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5"/>
    </row>
    <row r="47" spans="1:73" ht="15.75" customHeight="1" x14ac:dyDescent="0.15">
      <c r="A47" s="7"/>
      <c r="B47" s="76">
        <v>33</v>
      </c>
      <c r="C47" s="148" t="str">
        <f>IF('INPUT DATA'!L42="","",'INPUT DATA'!L42)</f>
        <v/>
      </c>
      <c r="D47" s="139"/>
      <c r="E47" s="146"/>
      <c r="F47" s="149" t="str">
        <f>IF('INPUT DATA'!M42="","",'INPUT DATA'!M42)</f>
        <v/>
      </c>
      <c r="G47" s="150"/>
      <c r="H47" s="63" t="str">
        <f>IF('INPUT DATA'!N42="","",'INPUT DATA'!N42)</f>
        <v/>
      </c>
      <c r="I47" s="71" t="str">
        <f t="shared" si="0"/>
        <v/>
      </c>
      <c r="J47" s="71" t="str">
        <f t="shared" si="1"/>
        <v/>
      </c>
      <c r="K47" s="71" t="str">
        <f t="shared" si="2"/>
        <v/>
      </c>
      <c r="L47" s="71" t="str">
        <f t="shared" si="3"/>
        <v/>
      </c>
      <c r="M47" s="80" t="s">
        <v>47</v>
      </c>
      <c r="N47" s="73"/>
      <c r="O47" s="74"/>
      <c r="P47" s="74"/>
      <c r="Q47" s="74"/>
      <c r="R47" s="74"/>
      <c r="S47" s="74"/>
      <c r="T47" s="74"/>
      <c r="U47" s="74"/>
      <c r="V47" s="74"/>
      <c r="W47" s="74"/>
      <c r="X47" s="74"/>
      <c r="Y47" s="75"/>
      <c r="Z47" s="73"/>
      <c r="AA47" s="74"/>
      <c r="AB47" s="74"/>
      <c r="AC47" s="74"/>
      <c r="AD47" s="74"/>
      <c r="AE47" s="74"/>
      <c r="AF47" s="74"/>
      <c r="AG47" s="74"/>
      <c r="AH47" s="74"/>
      <c r="AI47" s="74"/>
      <c r="AJ47" s="74"/>
      <c r="AK47" s="74"/>
      <c r="AL47" s="74"/>
      <c r="AM47" s="74"/>
      <c r="AN47" s="74"/>
      <c r="AO47" s="74"/>
      <c r="AP47" s="74"/>
      <c r="AQ47" s="74"/>
      <c r="AR47" s="74"/>
      <c r="AS47" s="75"/>
      <c r="AT47" s="73"/>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5"/>
    </row>
    <row r="48" spans="1:73" ht="15.75" customHeight="1" x14ac:dyDescent="0.15">
      <c r="A48" s="7"/>
      <c r="B48" s="76">
        <v>34</v>
      </c>
      <c r="C48" s="148" t="str">
        <f>IF('INPUT DATA'!L43="","",'INPUT DATA'!L43)</f>
        <v/>
      </c>
      <c r="D48" s="139"/>
      <c r="E48" s="146"/>
      <c r="F48" s="149" t="str">
        <f>IF('INPUT DATA'!M43="","",'INPUT DATA'!M43)</f>
        <v/>
      </c>
      <c r="G48" s="150"/>
      <c r="H48" s="63" t="str">
        <f>IF('INPUT DATA'!N43="","",'INPUT DATA'!N43)</f>
        <v/>
      </c>
      <c r="I48" s="71" t="str">
        <f t="shared" si="0"/>
        <v/>
      </c>
      <c r="J48" s="71" t="str">
        <f t="shared" si="1"/>
        <v/>
      </c>
      <c r="K48" s="71" t="str">
        <f t="shared" si="2"/>
        <v/>
      </c>
      <c r="L48" s="71" t="str">
        <f t="shared" si="3"/>
        <v/>
      </c>
      <c r="M48" s="80" t="s">
        <v>47</v>
      </c>
      <c r="N48" s="73"/>
      <c r="O48" s="74"/>
      <c r="P48" s="74"/>
      <c r="Q48" s="74"/>
      <c r="R48" s="74"/>
      <c r="S48" s="74"/>
      <c r="T48" s="74"/>
      <c r="U48" s="74"/>
      <c r="V48" s="74"/>
      <c r="W48" s="74"/>
      <c r="X48" s="74"/>
      <c r="Y48" s="75"/>
      <c r="Z48" s="73"/>
      <c r="AA48" s="74"/>
      <c r="AB48" s="74"/>
      <c r="AC48" s="74"/>
      <c r="AD48" s="74"/>
      <c r="AE48" s="74"/>
      <c r="AF48" s="74"/>
      <c r="AG48" s="74"/>
      <c r="AH48" s="74"/>
      <c r="AI48" s="74"/>
      <c r="AJ48" s="74"/>
      <c r="AK48" s="74"/>
      <c r="AL48" s="74"/>
      <c r="AM48" s="74"/>
      <c r="AN48" s="74"/>
      <c r="AO48" s="74"/>
      <c r="AP48" s="74"/>
      <c r="AQ48" s="74"/>
      <c r="AR48" s="74"/>
      <c r="AS48" s="75"/>
      <c r="AT48" s="73"/>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5"/>
    </row>
    <row r="49" spans="1:73" ht="15.75" customHeight="1" x14ac:dyDescent="0.15">
      <c r="A49" s="7"/>
      <c r="B49" s="76">
        <v>35</v>
      </c>
      <c r="C49" s="148" t="str">
        <f>IF('INPUT DATA'!L44="","",'INPUT DATA'!L44)</f>
        <v/>
      </c>
      <c r="D49" s="139"/>
      <c r="E49" s="146"/>
      <c r="F49" s="149" t="str">
        <f>IF('INPUT DATA'!M44="","",'INPUT DATA'!M44)</f>
        <v/>
      </c>
      <c r="G49" s="150"/>
      <c r="H49" s="63" t="str">
        <f>IF('INPUT DATA'!N44="","",'INPUT DATA'!N44)</f>
        <v/>
      </c>
      <c r="I49" s="71" t="str">
        <f t="shared" si="0"/>
        <v/>
      </c>
      <c r="J49" s="71" t="str">
        <f t="shared" si="1"/>
        <v/>
      </c>
      <c r="K49" s="71" t="str">
        <f t="shared" si="2"/>
        <v/>
      </c>
      <c r="L49" s="71" t="str">
        <f t="shared" si="3"/>
        <v/>
      </c>
      <c r="M49" s="80" t="s">
        <v>47</v>
      </c>
      <c r="N49" s="73"/>
      <c r="O49" s="74"/>
      <c r="P49" s="74"/>
      <c r="Q49" s="74"/>
      <c r="R49" s="74"/>
      <c r="S49" s="74"/>
      <c r="T49" s="74"/>
      <c r="U49" s="74"/>
      <c r="V49" s="74"/>
      <c r="W49" s="74"/>
      <c r="X49" s="74"/>
      <c r="Y49" s="75"/>
      <c r="Z49" s="73"/>
      <c r="AA49" s="74"/>
      <c r="AB49" s="74"/>
      <c r="AC49" s="74"/>
      <c r="AD49" s="74"/>
      <c r="AE49" s="74"/>
      <c r="AF49" s="74"/>
      <c r="AG49" s="74"/>
      <c r="AH49" s="74"/>
      <c r="AI49" s="74"/>
      <c r="AJ49" s="74"/>
      <c r="AK49" s="74"/>
      <c r="AL49" s="74"/>
      <c r="AM49" s="74"/>
      <c r="AN49" s="74"/>
      <c r="AO49" s="74"/>
      <c r="AP49" s="74"/>
      <c r="AQ49" s="74"/>
      <c r="AR49" s="74"/>
      <c r="AS49" s="75"/>
      <c r="AT49" s="73"/>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5"/>
    </row>
    <row r="50" spans="1:73" ht="15.75" customHeight="1" x14ac:dyDescent="0.15">
      <c r="A50" s="7"/>
      <c r="B50" s="76">
        <v>36</v>
      </c>
      <c r="C50" s="148" t="str">
        <f>IF('INPUT DATA'!L45="","",'INPUT DATA'!L45)</f>
        <v/>
      </c>
      <c r="D50" s="139"/>
      <c r="E50" s="146"/>
      <c r="F50" s="149" t="str">
        <f>IF('INPUT DATA'!M45="","",'INPUT DATA'!M45)</f>
        <v/>
      </c>
      <c r="G50" s="150"/>
      <c r="H50" s="63" t="str">
        <f>IF('INPUT DATA'!N45="","",'INPUT DATA'!N45)</f>
        <v/>
      </c>
      <c r="I50" s="71" t="str">
        <f t="shared" si="0"/>
        <v/>
      </c>
      <c r="J50" s="71" t="str">
        <f t="shared" si="1"/>
        <v/>
      </c>
      <c r="K50" s="71" t="str">
        <f t="shared" si="2"/>
        <v/>
      </c>
      <c r="L50" s="71" t="str">
        <f t="shared" si="3"/>
        <v/>
      </c>
      <c r="M50" s="80" t="s">
        <v>47</v>
      </c>
      <c r="N50" s="73"/>
      <c r="O50" s="74"/>
      <c r="P50" s="74"/>
      <c r="Q50" s="74"/>
      <c r="R50" s="74"/>
      <c r="S50" s="74"/>
      <c r="T50" s="74"/>
      <c r="U50" s="74"/>
      <c r="V50" s="74"/>
      <c r="W50" s="74"/>
      <c r="X50" s="74"/>
      <c r="Y50" s="75"/>
      <c r="Z50" s="73"/>
      <c r="AA50" s="74"/>
      <c r="AB50" s="74"/>
      <c r="AC50" s="74"/>
      <c r="AD50" s="74"/>
      <c r="AE50" s="74"/>
      <c r="AF50" s="74"/>
      <c r="AG50" s="74"/>
      <c r="AH50" s="74"/>
      <c r="AI50" s="74"/>
      <c r="AJ50" s="74"/>
      <c r="AK50" s="74"/>
      <c r="AL50" s="74"/>
      <c r="AM50" s="74"/>
      <c r="AN50" s="74"/>
      <c r="AO50" s="74"/>
      <c r="AP50" s="74"/>
      <c r="AQ50" s="74"/>
      <c r="AR50" s="74"/>
      <c r="AS50" s="75"/>
      <c r="AT50" s="73"/>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5"/>
    </row>
    <row r="51" spans="1:73" ht="15.75" customHeight="1" x14ac:dyDescent="0.15">
      <c r="A51" s="7"/>
      <c r="B51" s="76">
        <v>37</v>
      </c>
      <c r="C51" s="148" t="str">
        <f>IF('INPUT DATA'!L46="","",'INPUT DATA'!L46)</f>
        <v/>
      </c>
      <c r="D51" s="139"/>
      <c r="E51" s="146"/>
      <c r="F51" s="149" t="str">
        <f>IF('INPUT DATA'!M46="","",'INPUT DATA'!M46)</f>
        <v/>
      </c>
      <c r="G51" s="150"/>
      <c r="H51" s="63" t="str">
        <f>IF('INPUT DATA'!N46="","",'INPUT DATA'!N46)</f>
        <v/>
      </c>
      <c r="I51" s="83" t="str">
        <f>IFERROR(IF(OR(H51="",H51=0),"",DATEDIF(IF(ISNUMBER(H51),H51,DATEVALUE(H51)),DATE(VALUE(LEFT('INPUT DATA'!$F$18,4)),6,1),"Y")),"")</f>
        <v/>
      </c>
      <c r="J51" s="83" t="str">
        <f>IFERROR(IF(OR(H51="",H51=0),"",DATEDIF(IF(ISNUMBER(H51),H51,DATEVALUE(H51)),DATE(VALUE(LEFT('INPUT DATA'!$F$18,4)),6,1),"YM")),"")</f>
        <v/>
      </c>
      <c r="K51" s="83" t="str">
        <f>IFERROR(IF(OR(H51="",H51=0),"",DATEDIF(IF(ISNUMBER(H51),H51,DATEVALUE(H51)),DATE(VALUE(RIGHT('INPUT DATA'!$F$18,4)),5,31),"Y")),"")</f>
        <v/>
      </c>
      <c r="L51" s="83" t="str">
        <f>IFERROR(IF(OR(H51="",H51=0),"",DATEDIF(IF(ISNUMBER(H51),H51,DATEVALUE(H51)),DATE(VALUE(RIGHT('INPUT DATA'!$F$18,4)),5,31),"YM")),"")</f>
        <v/>
      </c>
      <c r="M51" s="80" t="s">
        <v>47</v>
      </c>
      <c r="N51" s="73"/>
      <c r="O51" s="74"/>
      <c r="P51" s="74"/>
      <c r="Q51" s="74"/>
      <c r="R51" s="74"/>
      <c r="S51" s="74"/>
      <c r="T51" s="74"/>
      <c r="U51" s="74"/>
      <c r="V51" s="74"/>
      <c r="W51" s="74"/>
      <c r="X51" s="74"/>
      <c r="Y51" s="75"/>
      <c r="Z51" s="73"/>
      <c r="AA51" s="74"/>
      <c r="AB51" s="74"/>
      <c r="AC51" s="74"/>
      <c r="AD51" s="74"/>
      <c r="AE51" s="74"/>
      <c r="AF51" s="74"/>
      <c r="AG51" s="74"/>
      <c r="AH51" s="74"/>
      <c r="AI51" s="74"/>
      <c r="AJ51" s="74"/>
      <c r="AK51" s="74"/>
      <c r="AL51" s="74"/>
      <c r="AM51" s="74"/>
      <c r="AN51" s="74"/>
      <c r="AO51" s="74"/>
      <c r="AP51" s="74"/>
      <c r="AQ51" s="74"/>
      <c r="AR51" s="74"/>
      <c r="AS51" s="75"/>
      <c r="AT51" s="73"/>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5"/>
    </row>
    <row r="52" spans="1:73" ht="15.75" customHeight="1" x14ac:dyDescent="0.15">
      <c r="A52" s="7"/>
      <c r="B52" s="76">
        <v>38</v>
      </c>
      <c r="C52" s="148" t="str">
        <f>IF('INPUT DATA'!L47="","",'INPUT DATA'!L47)</f>
        <v/>
      </c>
      <c r="D52" s="139"/>
      <c r="E52" s="146"/>
      <c r="F52" s="149" t="str">
        <f>IF('INPUT DATA'!M47="","",'INPUT DATA'!M47)</f>
        <v/>
      </c>
      <c r="G52" s="150"/>
      <c r="H52" s="63" t="str">
        <f>IF('INPUT DATA'!N47="","",'INPUT DATA'!N47)</f>
        <v/>
      </c>
      <c r="I52" s="83" t="str">
        <f>IFERROR(IF(OR(H52="",H52=0),"",DATEDIF(IF(ISNUMBER(H52),H52,DATEVALUE(H52)),DATE(VALUE(LEFT('INPUT DATA'!$F$18,4)),6,1),"Y")),"")</f>
        <v/>
      </c>
      <c r="J52" s="83" t="str">
        <f>IFERROR(IF(OR(H52="",H52=0),"",DATEDIF(IF(ISNUMBER(H52),H52,DATEVALUE(H52)),DATE(VALUE(LEFT('INPUT DATA'!$F$18,4)),6,1),"YM")),"")</f>
        <v/>
      </c>
      <c r="K52" s="83" t="str">
        <f>IFERROR(IF(OR(H52="",H52=0),"",DATEDIF(IF(ISNUMBER(H52),H52,DATEVALUE(H52)),DATE(VALUE(RIGHT('INPUT DATA'!$F$18,4)),5,31),"Y")),"")</f>
        <v/>
      </c>
      <c r="L52" s="83" t="str">
        <f>IFERROR(IF(OR(H52="",H52=0),"",DATEDIF(IF(ISNUMBER(H52),H52,DATEVALUE(H52)),DATE(VALUE(RIGHT('INPUT DATA'!$F$18,4)),5,31),"YM")),"")</f>
        <v/>
      </c>
      <c r="M52" s="80" t="s">
        <v>47</v>
      </c>
      <c r="N52" s="73"/>
      <c r="O52" s="74"/>
      <c r="P52" s="74"/>
      <c r="Q52" s="74"/>
      <c r="R52" s="74"/>
      <c r="S52" s="74"/>
      <c r="T52" s="74"/>
      <c r="U52" s="74"/>
      <c r="V52" s="74"/>
      <c r="W52" s="74"/>
      <c r="X52" s="74"/>
      <c r="Y52" s="75"/>
      <c r="Z52" s="73"/>
      <c r="AA52" s="74"/>
      <c r="AB52" s="74"/>
      <c r="AC52" s="74"/>
      <c r="AD52" s="74"/>
      <c r="AE52" s="74"/>
      <c r="AF52" s="74"/>
      <c r="AG52" s="74"/>
      <c r="AH52" s="74"/>
      <c r="AI52" s="74"/>
      <c r="AJ52" s="74"/>
      <c r="AK52" s="74"/>
      <c r="AL52" s="74"/>
      <c r="AM52" s="74"/>
      <c r="AN52" s="74"/>
      <c r="AO52" s="74"/>
      <c r="AP52" s="74"/>
      <c r="AQ52" s="74"/>
      <c r="AR52" s="74"/>
      <c r="AS52" s="75"/>
      <c r="AT52" s="73"/>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5"/>
    </row>
    <row r="53" spans="1:73" ht="15.75" customHeight="1" x14ac:dyDescent="0.15">
      <c r="A53" s="7"/>
      <c r="B53" s="76">
        <v>39</v>
      </c>
      <c r="C53" s="148" t="str">
        <f>IF('INPUT DATA'!L48="","",'INPUT DATA'!L48)</f>
        <v/>
      </c>
      <c r="D53" s="139"/>
      <c r="E53" s="146"/>
      <c r="F53" s="149" t="str">
        <f>IF('INPUT DATA'!M48="","",'INPUT DATA'!M48)</f>
        <v/>
      </c>
      <c r="G53" s="150"/>
      <c r="H53" s="63" t="str">
        <f>IF('INPUT DATA'!N48="","",'INPUT DATA'!N48)</f>
        <v/>
      </c>
      <c r="I53" s="83" t="str">
        <f>IFERROR(IF(OR(H53="",H53=0),"",DATEDIF(IF(ISNUMBER(H53),H53,DATEVALUE(H53)),DATE(VALUE(LEFT('INPUT DATA'!$F$18,4)),6,1),"Y")),"")</f>
        <v/>
      </c>
      <c r="J53" s="83" t="str">
        <f>IFERROR(IF(OR(H53="",H53=0),"",DATEDIF(IF(ISNUMBER(H53),H53,DATEVALUE(H53)),DATE(VALUE(LEFT('INPUT DATA'!$F$18,4)),6,1),"YM")),"")</f>
        <v/>
      </c>
      <c r="K53" s="83" t="str">
        <f>IFERROR(IF(OR(H53="",H53=0),"",DATEDIF(IF(ISNUMBER(H53),H53,DATEVALUE(H53)),DATE(VALUE(RIGHT('INPUT DATA'!$F$18,4)),5,31),"Y")),"")</f>
        <v/>
      </c>
      <c r="L53" s="83" t="str">
        <f>IFERROR(IF(OR(H53="",H53=0),"",DATEDIF(IF(ISNUMBER(H53),H53,DATEVALUE(H53)),DATE(VALUE(RIGHT('INPUT DATA'!$F$18,4)),5,31),"YM")),"")</f>
        <v/>
      </c>
      <c r="M53" s="80" t="s">
        <v>47</v>
      </c>
      <c r="N53" s="73"/>
      <c r="O53" s="74"/>
      <c r="P53" s="74"/>
      <c r="Q53" s="74"/>
      <c r="R53" s="74"/>
      <c r="S53" s="74"/>
      <c r="T53" s="74"/>
      <c r="U53" s="74"/>
      <c r="V53" s="74"/>
      <c r="W53" s="74"/>
      <c r="X53" s="74"/>
      <c r="Y53" s="75"/>
      <c r="Z53" s="73"/>
      <c r="AA53" s="74"/>
      <c r="AB53" s="74"/>
      <c r="AC53" s="74"/>
      <c r="AD53" s="74"/>
      <c r="AE53" s="74"/>
      <c r="AF53" s="74"/>
      <c r="AG53" s="74"/>
      <c r="AH53" s="74"/>
      <c r="AI53" s="74"/>
      <c r="AJ53" s="74"/>
      <c r="AK53" s="74"/>
      <c r="AL53" s="74"/>
      <c r="AM53" s="74"/>
      <c r="AN53" s="74"/>
      <c r="AO53" s="74"/>
      <c r="AP53" s="74"/>
      <c r="AQ53" s="74"/>
      <c r="AR53" s="74"/>
      <c r="AS53" s="75"/>
      <c r="AT53" s="73"/>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5"/>
    </row>
    <row r="54" spans="1:73" ht="15.75" customHeight="1" x14ac:dyDescent="0.15">
      <c r="A54" s="7"/>
      <c r="B54" s="76">
        <v>40</v>
      </c>
      <c r="C54" s="148" t="str">
        <f>IF('INPUT DATA'!L49="","",'INPUT DATA'!L49)</f>
        <v/>
      </c>
      <c r="D54" s="139"/>
      <c r="E54" s="146"/>
      <c r="F54" s="149" t="str">
        <f>IF('INPUT DATA'!M49="","",'INPUT DATA'!M49)</f>
        <v/>
      </c>
      <c r="G54" s="150"/>
      <c r="H54" s="63" t="str">
        <f>IF('INPUT DATA'!N49="","",'INPUT DATA'!N49)</f>
        <v/>
      </c>
      <c r="I54" s="83" t="str">
        <f>IFERROR(IF(OR(H54="",H54=0),"",DATEDIF(IF(ISNUMBER(H54),H54,DATEVALUE(H54)),DATE(VALUE(LEFT('INPUT DATA'!$F$18,4)),6,1),"Y")),"")</f>
        <v/>
      </c>
      <c r="J54" s="83" t="str">
        <f>IFERROR(IF(OR(H54="",H54=0),"",DATEDIF(IF(ISNUMBER(H54),H54,DATEVALUE(H54)),DATE(VALUE(LEFT('INPUT DATA'!$F$18,4)),6,1),"YM")),"")</f>
        <v/>
      </c>
      <c r="K54" s="83" t="str">
        <f>IFERROR(IF(OR(H54="",H54=0),"",DATEDIF(IF(ISNUMBER(H54),H54,DATEVALUE(H54)),DATE(VALUE(RIGHT('INPUT DATA'!$F$18,4)),5,31),"Y")),"")</f>
        <v/>
      </c>
      <c r="L54" s="83" t="str">
        <f>IFERROR(IF(OR(H54="",H54=0),"",DATEDIF(IF(ISNUMBER(H54),H54,DATEVALUE(H54)),DATE(VALUE(RIGHT('INPUT DATA'!$F$18,4)),5,31),"YM")),"")</f>
        <v/>
      </c>
      <c r="M54" s="80" t="s">
        <v>47</v>
      </c>
      <c r="N54" s="73"/>
      <c r="O54" s="74"/>
      <c r="P54" s="74"/>
      <c r="Q54" s="74"/>
      <c r="R54" s="74"/>
      <c r="S54" s="74"/>
      <c r="T54" s="74"/>
      <c r="U54" s="74"/>
      <c r="V54" s="74"/>
      <c r="W54" s="74"/>
      <c r="X54" s="74"/>
      <c r="Y54" s="75"/>
      <c r="Z54" s="73"/>
      <c r="AA54" s="74"/>
      <c r="AB54" s="74"/>
      <c r="AC54" s="74"/>
      <c r="AD54" s="74"/>
      <c r="AE54" s="74"/>
      <c r="AF54" s="74"/>
      <c r="AG54" s="74"/>
      <c r="AH54" s="74"/>
      <c r="AI54" s="74"/>
      <c r="AJ54" s="74"/>
      <c r="AK54" s="74"/>
      <c r="AL54" s="74"/>
      <c r="AM54" s="74"/>
      <c r="AN54" s="74"/>
      <c r="AO54" s="74"/>
      <c r="AP54" s="74"/>
      <c r="AQ54" s="74"/>
      <c r="AR54" s="74"/>
      <c r="AS54" s="75"/>
      <c r="AT54" s="73"/>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5"/>
    </row>
    <row r="55" spans="1:73" ht="15.75" customHeight="1" x14ac:dyDescent="0.15">
      <c r="A55" s="7"/>
      <c r="B55" s="76">
        <v>41</v>
      </c>
      <c r="C55" s="148" t="str">
        <f>IF('INPUT DATA'!L50="","",'INPUT DATA'!L50)</f>
        <v/>
      </c>
      <c r="D55" s="139"/>
      <c r="E55" s="146"/>
      <c r="F55" s="149" t="str">
        <f>IF('INPUT DATA'!M50="","",'INPUT DATA'!M50)</f>
        <v/>
      </c>
      <c r="G55" s="150"/>
      <c r="H55" s="63" t="str">
        <f>IF('INPUT DATA'!N50="","",'INPUT DATA'!N50)</f>
        <v/>
      </c>
      <c r="I55" s="83" t="str">
        <f>IFERROR(IF(OR(H55="",H55=0),"",DATEDIF(IF(ISNUMBER(H55),H55,DATEVALUE(H55)),DATE(VALUE(LEFT('INPUT DATA'!$F$18,4)),6,1),"Y")),"")</f>
        <v/>
      </c>
      <c r="J55" s="83" t="str">
        <f>IFERROR(IF(OR(H55="",H55=0),"",DATEDIF(IF(ISNUMBER(H55),H55,DATEVALUE(H55)),DATE(VALUE(LEFT('INPUT DATA'!$F$18,4)),6,1),"YM")),"")</f>
        <v/>
      </c>
      <c r="K55" s="83" t="str">
        <f>IFERROR(IF(OR(H55="",H55=0),"",DATEDIF(IF(ISNUMBER(H55),H55,DATEVALUE(H55)),DATE(VALUE(RIGHT('INPUT DATA'!$F$18,4)),5,31),"Y")),"")</f>
        <v/>
      </c>
      <c r="L55" s="83" t="str">
        <f>IFERROR(IF(OR(H55="",H55=0),"",DATEDIF(IF(ISNUMBER(H55),H55,DATEVALUE(H55)),DATE(VALUE(RIGHT('INPUT DATA'!$F$18,4)),5,31),"YM")),"")</f>
        <v/>
      </c>
      <c r="M55" s="80" t="s">
        <v>47</v>
      </c>
      <c r="N55" s="73"/>
      <c r="O55" s="74"/>
      <c r="P55" s="74"/>
      <c r="Q55" s="74"/>
      <c r="R55" s="74"/>
      <c r="S55" s="74"/>
      <c r="T55" s="74"/>
      <c r="U55" s="74"/>
      <c r="V55" s="74"/>
      <c r="W55" s="74"/>
      <c r="X55" s="74"/>
      <c r="Y55" s="75"/>
      <c r="Z55" s="73"/>
      <c r="AA55" s="74"/>
      <c r="AB55" s="74"/>
      <c r="AC55" s="74"/>
      <c r="AD55" s="74"/>
      <c r="AE55" s="74"/>
      <c r="AF55" s="74"/>
      <c r="AG55" s="74"/>
      <c r="AH55" s="74"/>
      <c r="AI55" s="74"/>
      <c r="AJ55" s="74"/>
      <c r="AK55" s="74"/>
      <c r="AL55" s="74"/>
      <c r="AM55" s="74"/>
      <c r="AN55" s="74"/>
      <c r="AO55" s="74"/>
      <c r="AP55" s="74"/>
      <c r="AQ55" s="74"/>
      <c r="AR55" s="74"/>
      <c r="AS55" s="75"/>
      <c r="AT55" s="73"/>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5"/>
    </row>
    <row r="56" spans="1:73" ht="15.75" customHeight="1" x14ac:dyDescent="0.15">
      <c r="A56" s="7"/>
      <c r="B56" s="76">
        <v>42</v>
      </c>
      <c r="C56" s="148" t="str">
        <f>IF('INPUT DATA'!L51="","",'INPUT DATA'!L51)</f>
        <v/>
      </c>
      <c r="D56" s="139"/>
      <c r="E56" s="146"/>
      <c r="F56" s="149" t="str">
        <f>IF('INPUT DATA'!M51="","",'INPUT DATA'!M51)</f>
        <v/>
      </c>
      <c r="G56" s="150"/>
      <c r="H56" s="63" t="str">
        <f>IF('INPUT DATA'!N51="","",'INPUT DATA'!N51)</f>
        <v/>
      </c>
      <c r="I56" s="83" t="str">
        <f>IFERROR(IF(OR(H56="",H56=0),"",DATEDIF(IF(ISNUMBER(H56),H56,DATEVALUE(H56)),DATE(VALUE(LEFT('INPUT DATA'!$F$18,4)),6,1),"Y")),"")</f>
        <v/>
      </c>
      <c r="J56" s="83" t="str">
        <f>IFERROR(IF(OR(H56="",H56=0),"",DATEDIF(IF(ISNUMBER(H56),H56,DATEVALUE(H56)),DATE(VALUE(LEFT('INPUT DATA'!$F$18,4)),6,1),"YM")),"")</f>
        <v/>
      </c>
      <c r="K56" s="83" t="str">
        <f>IFERROR(IF(OR(H56="",H56=0),"",DATEDIF(IF(ISNUMBER(H56),H56,DATEVALUE(H56)),DATE(VALUE(RIGHT('INPUT DATA'!$F$18,4)),5,31),"Y")),"")</f>
        <v/>
      </c>
      <c r="L56" s="83" t="str">
        <f>IFERROR(IF(OR(H56="",H56=0),"",DATEDIF(IF(ISNUMBER(H56),H56,DATEVALUE(H56)),DATE(VALUE(RIGHT('INPUT DATA'!$F$18,4)),5,31),"YM")),"")</f>
        <v/>
      </c>
      <c r="M56" s="80" t="s">
        <v>47</v>
      </c>
      <c r="N56" s="73"/>
      <c r="O56" s="74"/>
      <c r="P56" s="74"/>
      <c r="Q56" s="74"/>
      <c r="R56" s="74"/>
      <c r="S56" s="74"/>
      <c r="T56" s="74"/>
      <c r="U56" s="74"/>
      <c r="V56" s="74"/>
      <c r="W56" s="74"/>
      <c r="X56" s="74"/>
      <c r="Y56" s="75"/>
      <c r="Z56" s="73"/>
      <c r="AA56" s="74"/>
      <c r="AB56" s="74"/>
      <c r="AC56" s="74"/>
      <c r="AD56" s="74"/>
      <c r="AE56" s="74"/>
      <c r="AF56" s="74"/>
      <c r="AG56" s="74"/>
      <c r="AH56" s="74"/>
      <c r="AI56" s="74"/>
      <c r="AJ56" s="74"/>
      <c r="AK56" s="74"/>
      <c r="AL56" s="74"/>
      <c r="AM56" s="74"/>
      <c r="AN56" s="74"/>
      <c r="AO56" s="74"/>
      <c r="AP56" s="74"/>
      <c r="AQ56" s="74"/>
      <c r="AR56" s="74"/>
      <c r="AS56" s="75"/>
      <c r="AT56" s="73"/>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5"/>
    </row>
    <row r="57" spans="1:73" ht="15.75" customHeight="1" x14ac:dyDescent="0.15">
      <c r="A57" s="7"/>
      <c r="B57" s="76">
        <v>43</v>
      </c>
      <c r="C57" s="148" t="str">
        <f>IF('INPUT DATA'!L52="","",'INPUT DATA'!L52)</f>
        <v/>
      </c>
      <c r="D57" s="139"/>
      <c r="E57" s="146"/>
      <c r="F57" s="149" t="str">
        <f>IF('INPUT DATA'!M52="","",'INPUT DATA'!M52)</f>
        <v/>
      </c>
      <c r="G57" s="150"/>
      <c r="H57" s="63" t="str">
        <f>IF('INPUT DATA'!N52="","",'INPUT DATA'!N52)</f>
        <v/>
      </c>
      <c r="I57" s="83" t="str">
        <f>IFERROR(IF(OR(H57="",H57=0),"",DATEDIF(IF(ISNUMBER(H57),H57,DATEVALUE(H57)),DATE(VALUE(LEFT('INPUT DATA'!$F$18,4)),6,1),"Y")),"")</f>
        <v/>
      </c>
      <c r="J57" s="83" t="str">
        <f>IFERROR(IF(OR(H57="",H57=0),"",DATEDIF(IF(ISNUMBER(H57),H57,DATEVALUE(H57)),DATE(VALUE(LEFT('INPUT DATA'!$F$18,4)),6,1),"YM")),"")</f>
        <v/>
      </c>
      <c r="K57" s="83" t="str">
        <f>IFERROR(IF(OR(H57="",H57=0),"",DATEDIF(IF(ISNUMBER(H57),H57,DATEVALUE(H57)),DATE(VALUE(RIGHT('INPUT DATA'!$F$18,4)),5,31),"Y")),"")</f>
        <v/>
      </c>
      <c r="L57" s="83" t="str">
        <f>IFERROR(IF(OR(H57="",H57=0),"",DATEDIF(IF(ISNUMBER(H57),H57,DATEVALUE(H57)),DATE(VALUE(RIGHT('INPUT DATA'!$F$18,4)),5,31),"YM")),"")</f>
        <v/>
      </c>
      <c r="M57" s="80" t="s">
        <v>47</v>
      </c>
      <c r="N57" s="73"/>
      <c r="O57" s="74"/>
      <c r="P57" s="74"/>
      <c r="Q57" s="74"/>
      <c r="R57" s="74"/>
      <c r="S57" s="74"/>
      <c r="T57" s="74"/>
      <c r="U57" s="74"/>
      <c r="V57" s="74"/>
      <c r="W57" s="74"/>
      <c r="X57" s="74"/>
      <c r="Y57" s="75"/>
      <c r="Z57" s="73"/>
      <c r="AA57" s="74"/>
      <c r="AB57" s="74"/>
      <c r="AC57" s="74"/>
      <c r="AD57" s="74"/>
      <c r="AE57" s="74"/>
      <c r="AF57" s="74"/>
      <c r="AG57" s="74"/>
      <c r="AH57" s="74"/>
      <c r="AI57" s="74"/>
      <c r="AJ57" s="74"/>
      <c r="AK57" s="74"/>
      <c r="AL57" s="74"/>
      <c r="AM57" s="74"/>
      <c r="AN57" s="74"/>
      <c r="AO57" s="74"/>
      <c r="AP57" s="74"/>
      <c r="AQ57" s="74"/>
      <c r="AR57" s="74"/>
      <c r="AS57" s="75"/>
      <c r="AT57" s="73"/>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5"/>
    </row>
    <row r="58" spans="1:73" ht="15.75" customHeight="1" x14ac:dyDescent="0.15">
      <c r="A58" s="7"/>
      <c r="B58" s="76">
        <v>44</v>
      </c>
      <c r="C58" s="148" t="str">
        <f>IF('INPUT DATA'!L53="","",'INPUT DATA'!L53)</f>
        <v/>
      </c>
      <c r="D58" s="139"/>
      <c r="E58" s="146"/>
      <c r="F58" s="149" t="str">
        <f>IF('INPUT DATA'!M53="","",'INPUT DATA'!M53)</f>
        <v/>
      </c>
      <c r="G58" s="150"/>
      <c r="H58" s="63" t="str">
        <f>IF('INPUT DATA'!N53="","",'INPUT DATA'!N53)</f>
        <v/>
      </c>
      <c r="I58" s="83" t="str">
        <f>IFERROR(IF(OR(H58="",H58=0),"",DATEDIF(IF(ISNUMBER(H58),H58,DATEVALUE(H58)),DATE(VALUE(LEFT('INPUT DATA'!$F$18,4)),6,1),"Y")),"")</f>
        <v/>
      </c>
      <c r="J58" s="83" t="str">
        <f>IFERROR(IF(OR(H58="",H58=0),"",DATEDIF(IF(ISNUMBER(H58),H58,DATEVALUE(H58)),DATE(VALUE(LEFT('INPUT DATA'!$F$18,4)),6,1),"YM")),"")</f>
        <v/>
      </c>
      <c r="K58" s="83" t="str">
        <f>IFERROR(IF(OR(H58="",H58=0),"",DATEDIF(IF(ISNUMBER(H58),H58,DATEVALUE(H58)),DATE(VALUE(RIGHT('INPUT DATA'!$F$18,4)),5,31),"Y")),"")</f>
        <v/>
      </c>
      <c r="L58" s="83" t="str">
        <f>IFERROR(IF(OR(H58="",H58=0),"",DATEDIF(IF(ISNUMBER(H58),H58,DATEVALUE(H58)),DATE(VALUE(RIGHT('INPUT DATA'!$F$18,4)),5,31),"YM")),"")</f>
        <v/>
      </c>
      <c r="M58" s="80" t="s">
        <v>47</v>
      </c>
      <c r="N58" s="73"/>
      <c r="O58" s="74"/>
      <c r="P58" s="74"/>
      <c r="Q58" s="74"/>
      <c r="R58" s="74"/>
      <c r="S58" s="74"/>
      <c r="T58" s="74"/>
      <c r="U58" s="74"/>
      <c r="V58" s="74"/>
      <c r="W58" s="74"/>
      <c r="X58" s="74"/>
      <c r="Y58" s="75"/>
      <c r="Z58" s="73"/>
      <c r="AA58" s="74"/>
      <c r="AB58" s="74"/>
      <c r="AC58" s="74"/>
      <c r="AD58" s="74"/>
      <c r="AE58" s="74"/>
      <c r="AF58" s="74"/>
      <c r="AG58" s="74"/>
      <c r="AH58" s="74"/>
      <c r="AI58" s="74"/>
      <c r="AJ58" s="74"/>
      <c r="AK58" s="74"/>
      <c r="AL58" s="74"/>
      <c r="AM58" s="74"/>
      <c r="AN58" s="74"/>
      <c r="AO58" s="74"/>
      <c r="AP58" s="74"/>
      <c r="AQ58" s="74"/>
      <c r="AR58" s="74"/>
      <c r="AS58" s="75"/>
      <c r="AT58" s="73"/>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5"/>
    </row>
    <row r="59" spans="1:73" ht="15.75" customHeight="1" x14ac:dyDescent="0.15">
      <c r="A59" s="7"/>
      <c r="B59" s="76">
        <v>45</v>
      </c>
      <c r="C59" s="148" t="str">
        <f>IF('INPUT DATA'!L54="","",'INPUT DATA'!L54)</f>
        <v/>
      </c>
      <c r="D59" s="139"/>
      <c r="E59" s="146"/>
      <c r="F59" s="149" t="str">
        <f>IF('INPUT DATA'!M54="","",'INPUT DATA'!M54)</f>
        <v/>
      </c>
      <c r="G59" s="150"/>
      <c r="H59" s="63" t="str">
        <f>IF('INPUT DATA'!N54="","",'INPUT DATA'!N54)</f>
        <v/>
      </c>
      <c r="I59" s="83" t="str">
        <f>IFERROR(IF(OR(H59="",H59=0),"",DATEDIF(IF(ISNUMBER(H59),H59,DATEVALUE(H59)),DATE(VALUE(LEFT('INPUT DATA'!$F$18,4)),6,1),"Y")),"")</f>
        <v/>
      </c>
      <c r="J59" s="83" t="str">
        <f>IFERROR(IF(OR(H59="",H59=0),"",DATEDIF(IF(ISNUMBER(H59),H59,DATEVALUE(H59)),DATE(VALUE(LEFT('INPUT DATA'!$F$18,4)),6,1),"YM")),"")</f>
        <v/>
      </c>
      <c r="K59" s="83" t="str">
        <f>IFERROR(IF(OR(H59="",H59=0),"",DATEDIF(IF(ISNUMBER(H59),H59,DATEVALUE(H59)),DATE(VALUE(RIGHT('INPUT DATA'!$F$18,4)),5,31),"Y")),"")</f>
        <v/>
      </c>
      <c r="L59" s="83" t="str">
        <f>IFERROR(IF(OR(H59="",H59=0),"",DATEDIF(IF(ISNUMBER(H59),H59,DATEVALUE(H59)),DATE(VALUE(RIGHT('INPUT DATA'!$F$18,4)),5,31),"YM")),"")</f>
        <v/>
      </c>
      <c r="M59" s="80" t="s">
        <v>47</v>
      </c>
      <c r="N59" s="73"/>
      <c r="O59" s="74"/>
      <c r="P59" s="74"/>
      <c r="Q59" s="74"/>
      <c r="R59" s="74"/>
      <c r="S59" s="74"/>
      <c r="T59" s="74"/>
      <c r="U59" s="74"/>
      <c r="V59" s="74"/>
      <c r="W59" s="74"/>
      <c r="X59" s="74"/>
      <c r="Y59" s="75"/>
      <c r="Z59" s="73"/>
      <c r="AA59" s="74"/>
      <c r="AB59" s="74"/>
      <c r="AC59" s="74"/>
      <c r="AD59" s="74"/>
      <c r="AE59" s="74"/>
      <c r="AF59" s="74"/>
      <c r="AG59" s="74"/>
      <c r="AH59" s="74"/>
      <c r="AI59" s="74"/>
      <c r="AJ59" s="74"/>
      <c r="AK59" s="74"/>
      <c r="AL59" s="74"/>
      <c r="AM59" s="74"/>
      <c r="AN59" s="74"/>
      <c r="AO59" s="74"/>
      <c r="AP59" s="74"/>
      <c r="AQ59" s="74"/>
      <c r="AR59" s="74"/>
      <c r="AS59" s="75"/>
      <c r="AT59" s="73"/>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5"/>
    </row>
    <row r="60" spans="1:73" ht="15.75" customHeight="1" x14ac:dyDescent="0.15">
      <c r="A60" s="7"/>
      <c r="B60" s="76">
        <v>46</v>
      </c>
      <c r="C60" s="148" t="str">
        <f>IF('INPUT DATA'!L55="","",'INPUT DATA'!L55)</f>
        <v/>
      </c>
      <c r="D60" s="139"/>
      <c r="E60" s="146"/>
      <c r="F60" s="149" t="str">
        <f>IF('INPUT DATA'!M55="","",'INPUT DATA'!M55)</f>
        <v/>
      </c>
      <c r="G60" s="150"/>
      <c r="H60" s="63" t="str">
        <f>IF('INPUT DATA'!N55="","",'INPUT DATA'!N55)</f>
        <v/>
      </c>
      <c r="I60" s="83" t="str">
        <f>IFERROR(IF(OR(H60="",H60=0),"",DATEDIF(IF(ISNUMBER(H60),H60,DATEVALUE(H60)),DATE(VALUE(LEFT('INPUT DATA'!$F$18,4)),6,1),"Y")),"")</f>
        <v/>
      </c>
      <c r="J60" s="83" t="str">
        <f>IFERROR(IF(OR(H60="",H60=0),"",DATEDIF(IF(ISNUMBER(H60),H60,DATEVALUE(H60)),DATE(VALUE(LEFT('INPUT DATA'!$F$18,4)),6,1),"YM")),"")</f>
        <v/>
      </c>
      <c r="K60" s="83" t="str">
        <f>IFERROR(IF(OR(H60="",H60=0),"",DATEDIF(IF(ISNUMBER(H60),H60,DATEVALUE(H60)),DATE(VALUE(RIGHT('INPUT DATA'!$F$18,4)),5,31),"Y")),"")</f>
        <v/>
      </c>
      <c r="L60" s="83" t="str">
        <f>IFERROR(IF(OR(H60="",H60=0),"",DATEDIF(IF(ISNUMBER(H60),H60,DATEVALUE(H60)),DATE(VALUE(RIGHT('INPUT DATA'!$F$18,4)),5,31),"YM")),"")</f>
        <v/>
      </c>
      <c r="M60" s="80" t="s">
        <v>47</v>
      </c>
      <c r="N60" s="73"/>
      <c r="O60" s="74"/>
      <c r="P60" s="74"/>
      <c r="Q60" s="74"/>
      <c r="R60" s="74"/>
      <c r="S60" s="74"/>
      <c r="T60" s="74"/>
      <c r="U60" s="74"/>
      <c r="V60" s="74"/>
      <c r="W60" s="74"/>
      <c r="X60" s="74"/>
      <c r="Y60" s="75"/>
      <c r="Z60" s="73"/>
      <c r="AA60" s="74"/>
      <c r="AB60" s="74"/>
      <c r="AC60" s="74"/>
      <c r="AD60" s="74"/>
      <c r="AE60" s="74"/>
      <c r="AF60" s="74"/>
      <c r="AG60" s="74"/>
      <c r="AH60" s="74"/>
      <c r="AI60" s="74"/>
      <c r="AJ60" s="74"/>
      <c r="AK60" s="74"/>
      <c r="AL60" s="74"/>
      <c r="AM60" s="74"/>
      <c r="AN60" s="74"/>
      <c r="AO60" s="74"/>
      <c r="AP60" s="74"/>
      <c r="AQ60" s="74"/>
      <c r="AR60" s="74"/>
      <c r="AS60" s="75"/>
      <c r="AT60" s="73"/>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5"/>
    </row>
    <row r="61" spans="1:73" ht="15.75" customHeight="1" x14ac:dyDescent="0.15">
      <c r="A61" s="7"/>
      <c r="B61" s="76">
        <v>47</v>
      </c>
      <c r="C61" s="148" t="str">
        <f>IF('INPUT DATA'!L56="","",'INPUT DATA'!L56)</f>
        <v/>
      </c>
      <c r="D61" s="139"/>
      <c r="E61" s="146"/>
      <c r="F61" s="149" t="str">
        <f>IF('INPUT DATA'!M56="","",'INPUT DATA'!M56)</f>
        <v/>
      </c>
      <c r="G61" s="150"/>
      <c r="H61" s="63" t="str">
        <f>IF('INPUT DATA'!N56="","",'INPUT DATA'!N56)</f>
        <v/>
      </c>
      <c r="I61" s="83" t="str">
        <f>IFERROR(IF(OR(H61="",H61=0),"",DATEDIF(IF(ISNUMBER(H61),H61,DATEVALUE(H61)),DATE(VALUE(LEFT('INPUT DATA'!$F$18,4)),6,1),"Y")),"")</f>
        <v/>
      </c>
      <c r="J61" s="83" t="str">
        <f>IFERROR(IF(OR(H61="",H61=0),"",DATEDIF(IF(ISNUMBER(H61),H61,DATEVALUE(H61)),DATE(VALUE(LEFT('INPUT DATA'!$F$18,4)),6,1),"YM")),"")</f>
        <v/>
      </c>
      <c r="K61" s="83" t="str">
        <f>IFERROR(IF(OR(H61="",H61=0),"",DATEDIF(IF(ISNUMBER(H61),H61,DATEVALUE(H61)),DATE(VALUE(RIGHT('INPUT DATA'!$F$18,4)),5,31),"Y")),"")</f>
        <v/>
      </c>
      <c r="L61" s="83" t="str">
        <f>IFERROR(IF(OR(H61="",H61=0),"",DATEDIF(IF(ISNUMBER(H61),H61,DATEVALUE(H61)),DATE(VALUE(RIGHT('INPUT DATA'!$F$18,4)),5,31),"YM")),"")</f>
        <v/>
      </c>
      <c r="M61" s="80" t="s">
        <v>47</v>
      </c>
      <c r="N61" s="73"/>
      <c r="O61" s="74"/>
      <c r="P61" s="74"/>
      <c r="Q61" s="74"/>
      <c r="R61" s="74"/>
      <c r="S61" s="74"/>
      <c r="T61" s="74"/>
      <c r="U61" s="74"/>
      <c r="V61" s="74"/>
      <c r="W61" s="74"/>
      <c r="X61" s="74"/>
      <c r="Y61" s="75"/>
      <c r="Z61" s="73"/>
      <c r="AA61" s="74"/>
      <c r="AB61" s="74"/>
      <c r="AC61" s="74"/>
      <c r="AD61" s="74"/>
      <c r="AE61" s="74"/>
      <c r="AF61" s="74"/>
      <c r="AG61" s="74"/>
      <c r="AH61" s="74"/>
      <c r="AI61" s="74"/>
      <c r="AJ61" s="74"/>
      <c r="AK61" s="74"/>
      <c r="AL61" s="74"/>
      <c r="AM61" s="74"/>
      <c r="AN61" s="74"/>
      <c r="AO61" s="74"/>
      <c r="AP61" s="74"/>
      <c r="AQ61" s="74"/>
      <c r="AR61" s="74"/>
      <c r="AS61" s="75"/>
      <c r="AT61" s="73"/>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5"/>
    </row>
    <row r="62" spans="1:73" ht="15.75" customHeight="1" x14ac:dyDescent="0.15">
      <c r="A62" s="7"/>
      <c r="B62" s="76">
        <v>48</v>
      </c>
      <c r="C62" s="148" t="str">
        <f>IF('INPUT DATA'!L57="","",'INPUT DATA'!L57)</f>
        <v/>
      </c>
      <c r="D62" s="139"/>
      <c r="E62" s="146"/>
      <c r="F62" s="149" t="str">
        <f>IF('INPUT DATA'!M57="","",'INPUT DATA'!M57)</f>
        <v/>
      </c>
      <c r="G62" s="150"/>
      <c r="H62" s="63" t="str">
        <f>IF('INPUT DATA'!N57="","",'INPUT DATA'!N57)</f>
        <v/>
      </c>
      <c r="I62" s="83" t="str">
        <f>IFERROR(IF(OR(H62="",H62=0),"",DATEDIF(IF(ISNUMBER(H62),H62,DATEVALUE(H62)),DATE(VALUE(LEFT('INPUT DATA'!$F$18,4)),6,1),"Y")),"")</f>
        <v/>
      </c>
      <c r="J62" s="83" t="str">
        <f>IFERROR(IF(OR(H62="",H62=0),"",DATEDIF(IF(ISNUMBER(H62),H62,DATEVALUE(H62)),DATE(VALUE(LEFT('INPUT DATA'!$F$18,4)),6,1),"YM")),"")</f>
        <v/>
      </c>
      <c r="K62" s="83" t="str">
        <f>IFERROR(IF(OR(H62="",H62=0),"",DATEDIF(IF(ISNUMBER(H62),H62,DATEVALUE(H62)),DATE(VALUE(RIGHT('INPUT DATA'!$F$18,4)),5,31),"Y")),"")</f>
        <v/>
      </c>
      <c r="L62" s="83" t="str">
        <f>IFERROR(IF(OR(H62="",H62=0),"",DATEDIF(IF(ISNUMBER(H62),H62,DATEVALUE(H62)),DATE(VALUE(RIGHT('INPUT DATA'!$F$18,4)),5,31),"YM")),"")</f>
        <v/>
      </c>
      <c r="M62" s="80" t="s">
        <v>47</v>
      </c>
      <c r="N62" s="73"/>
      <c r="O62" s="74"/>
      <c r="P62" s="74"/>
      <c r="Q62" s="74"/>
      <c r="R62" s="74"/>
      <c r="S62" s="74"/>
      <c r="T62" s="74"/>
      <c r="U62" s="74"/>
      <c r="V62" s="74"/>
      <c r="W62" s="74"/>
      <c r="X62" s="74"/>
      <c r="Y62" s="75"/>
      <c r="Z62" s="73"/>
      <c r="AA62" s="74"/>
      <c r="AB62" s="74"/>
      <c r="AC62" s="74"/>
      <c r="AD62" s="74"/>
      <c r="AE62" s="74"/>
      <c r="AF62" s="74"/>
      <c r="AG62" s="74"/>
      <c r="AH62" s="74"/>
      <c r="AI62" s="74"/>
      <c r="AJ62" s="74"/>
      <c r="AK62" s="74"/>
      <c r="AL62" s="74"/>
      <c r="AM62" s="74"/>
      <c r="AN62" s="74"/>
      <c r="AO62" s="74"/>
      <c r="AP62" s="74"/>
      <c r="AQ62" s="74"/>
      <c r="AR62" s="74"/>
      <c r="AS62" s="75"/>
      <c r="AT62" s="73"/>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5"/>
    </row>
    <row r="63" spans="1:73" ht="15.75" customHeight="1" x14ac:dyDescent="0.15">
      <c r="A63" s="7"/>
      <c r="B63" s="76">
        <v>49</v>
      </c>
      <c r="C63" s="148" t="str">
        <f>IF('INPUT DATA'!L58="","",'INPUT DATA'!L58)</f>
        <v/>
      </c>
      <c r="D63" s="139"/>
      <c r="E63" s="146"/>
      <c r="F63" s="149" t="str">
        <f>IF('INPUT DATA'!M58="","",'INPUT DATA'!M58)</f>
        <v/>
      </c>
      <c r="G63" s="150"/>
      <c r="H63" s="63" t="str">
        <f>IF('INPUT DATA'!N58="","",'INPUT DATA'!N58)</f>
        <v/>
      </c>
      <c r="I63" s="83" t="str">
        <f>IFERROR(IF(OR(H63="",H63=0),"",DATEDIF(IF(ISNUMBER(H63),H63,DATEVALUE(H63)),DATE(VALUE(LEFT('INPUT DATA'!$F$18,4)),6,1),"Y")),"")</f>
        <v/>
      </c>
      <c r="J63" s="83" t="str">
        <f>IFERROR(IF(OR(H63="",H63=0),"",DATEDIF(IF(ISNUMBER(H63),H63,DATEVALUE(H63)),DATE(VALUE(LEFT('INPUT DATA'!$F$18,4)),6,1),"YM")),"")</f>
        <v/>
      </c>
      <c r="K63" s="83" t="str">
        <f>IFERROR(IF(OR(H63="",H63=0),"",DATEDIF(IF(ISNUMBER(H63),H63,DATEVALUE(H63)),DATE(VALUE(RIGHT('INPUT DATA'!$F$18,4)),5,31),"Y")),"")</f>
        <v/>
      </c>
      <c r="L63" s="83" t="str">
        <f>IFERROR(IF(OR(H63="",H63=0),"",DATEDIF(IF(ISNUMBER(H63),H63,DATEVALUE(H63)),DATE(VALUE(RIGHT('INPUT DATA'!$F$18,4)),5,31),"YM")),"")</f>
        <v/>
      </c>
      <c r="M63" s="80" t="s">
        <v>47</v>
      </c>
      <c r="N63" s="73"/>
      <c r="O63" s="74"/>
      <c r="P63" s="74"/>
      <c r="Q63" s="74"/>
      <c r="R63" s="74"/>
      <c r="S63" s="74"/>
      <c r="T63" s="74"/>
      <c r="U63" s="74"/>
      <c r="V63" s="74"/>
      <c r="W63" s="74"/>
      <c r="X63" s="74"/>
      <c r="Y63" s="75"/>
      <c r="Z63" s="73"/>
      <c r="AA63" s="74"/>
      <c r="AB63" s="74"/>
      <c r="AC63" s="74"/>
      <c r="AD63" s="74"/>
      <c r="AE63" s="74"/>
      <c r="AF63" s="74"/>
      <c r="AG63" s="74"/>
      <c r="AH63" s="74"/>
      <c r="AI63" s="74"/>
      <c r="AJ63" s="74"/>
      <c r="AK63" s="74"/>
      <c r="AL63" s="74"/>
      <c r="AM63" s="74"/>
      <c r="AN63" s="74"/>
      <c r="AO63" s="74"/>
      <c r="AP63" s="74"/>
      <c r="AQ63" s="74"/>
      <c r="AR63" s="74"/>
      <c r="AS63" s="75"/>
      <c r="AT63" s="73"/>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5"/>
    </row>
    <row r="64" spans="1:73" ht="15.75" customHeight="1" x14ac:dyDescent="0.15">
      <c r="A64" s="7"/>
      <c r="B64" s="82">
        <v>50</v>
      </c>
      <c r="C64" s="161" t="str">
        <f>IF('INPUT DATA'!L59="","",'INPUT DATA'!L59)</f>
        <v/>
      </c>
      <c r="D64" s="156"/>
      <c r="E64" s="157"/>
      <c r="F64" s="159" t="str">
        <f>IF('INPUT DATA'!M59="","",'INPUT DATA'!M59)</f>
        <v/>
      </c>
      <c r="G64" s="160"/>
      <c r="H64" s="84" t="str">
        <f>IF('INPUT DATA'!N59="","",'INPUT DATA'!N59)</f>
        <v/>
      </c>
      <c r="I64" s="100" t="str">
        <f>IFERROR(IF(OR(H64="",H64=0),"",DATEDIF(IF(ISNUMBER(H64),H64,DATEVALUE(H64)),DATE(VALUE(LEFT('INPUT DATA'!$F$18,4)),6,1),"Y")),"")</f>
        <v/>
      </c>
      <c r="J64" s="100" t="str">
        <f>IFERROR(IF(OR(H64="",H64=0),"",DATEDIF(IF(ISNUMBER(H64),H64,DATEVALUE(H64)),DATE(VALUE(LEFT('INPUT DATA'!$F$18,4)),6,1),"YM")),"")</f>
        <v/>
      </c>
      <c r="K64" s="100" t="str">
        <f>IFERROR(IF(OR(H64="",H64=0),"",DATEDIF(IF(ISNUMBER(H64),H64,DATEVALUE(H64)),DATE(VALUE(RIGHT('INPUT DATA'!$F$18,4)),5,31),"Y")),"")</f>
        <v/>
      </c>
      <c r="L64" s="100" t="str">
        <f>IFERROR(IF(OR(H64="",H64=0),"",DATEDIF(IF(ISNUMBER(H64),H64,DATEVALUE(H64)),DATE(VALUE(RIGHT('INPUT DATA'!$F$18,4)),5,31),"YM")),"")</f>
        <v/>
      </c>
      <c r="M64" s="99" t="s">
        <v>47</v>
      </c>
      <c r="N64" s="89"/>
      <c r="O64" s="90"/>
      <c r="P64" s="90"/>
      <c r="Q64" s="90"/>
      <c r="R64" s="90"/>
      <c r="S64" s="90"/>
      <c r="T64" s="90"/>
      <c r="U64" s="90"/>
      <c r="V64" s="90"/>
      <c r="W64" s="90"/>
      <c r="X64" s="90"/>
      <c r="Y64" s="91"/>
      <c r="Z64" s="89"/>
      <c r="AA64" s="90"/>
      <c r="AB64" s="90"/>
      <c r="AC64" s="90"/>
      <c r="AD64" s="90"/>
      <c r="AE64" s="90"/>
      <c r="AF64" s="90"/>
      <c r="AG64" s="90"/>
      <c r="AH64" s="90"/>
      <c r="AI64" s="90"/>
      <c r="AJ64" s="90"/>
      <c r="AK64" s="90"/>
      <c r="AL64" s="90"/>
      <c r="AM64" s="90"/>
      <c r="AN64" s="90"/>
      <c r="AO64" s="90"/>
      <c r="AP64" s="90"/>
      <c r="AQ64" s="90"/>
      <c r="AR64" s="90"/>
      <c r="AS64" s="91"/>
      <c r="AT64" s="89"/>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1"/>
    </row>
    <row r="65" spans="1:73" ht="15.75" customHeight="1" x14ac:dyDescent="0.15">
      <c r="A65" s="7"/>
      <c r="B65" s="206" t="s">
        <v>10</v>
      </c>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207"/>
      <c r="BT65" s="207"/>
      <c r="BU65" s="208"/>
    </row>
    <row r="66" spans="1:73" ht="15.75" customHeight="1" x14ac:dyDescent="0.15">
      <c r="A66" s="7"/>
      <c r="B66" s="92">
        <v>1</v>
      </c>
      <c r="C66" s="162" t="str">
        <f>IF('INPUT DATA'!Q11="","",'INPUT DATA'!Q11)</f>
        <v/>
      </c>
      <c r="D66" s="163"/>
      <c r="E66" s="154"/>
      <c r="F66" s="153" t="str">
        <f>IF('INPUT DATA'!R11="","",'INPUT DATA'!R11)</f>
        <v/>
      </c>
      <c r="G66" s="154"/>
      <c r="H66" s="93" t="str">
        <f>IF('INPUT DATA'!S11="","",'INPUT DATA'!S11)</f>
        <v/>
      </c>
      <c r="I66" s="81" t="str">
        <f>IFERROR(IF(OR(H66="",H66=0),"",DATEDIF(IF(ISNUMBER(H66),H66,DATEVALUE(H66)),DATE(VALUE(LEFT('INPUT DATA'!$F$18,4)),6,1),"Y")),"")</f>
        <v/>
      </c>
      <c r="J66" s="81" t="str">
        <f>IFERROR(IF(OR(H66="",H66=0),"",DATEDIF(IF(ISNUMBER(H66),H66,DATEVALUE(H66)),DATE(VALUE(LEFT('INPUT DATA'!$F$18,4)),6,1),"YM")),"")</f>
        <v/>
      </c>
      <c r="K66" s="81" t="str">
        <f>IFERROR(IF(OR(H66="",H66=0),"",DATEDIF(IF(ISNUMBER(H66),H66,DATEVALUE(H66)),DATE(VALUE(RIGHT('INPUT DATA'!$F$18,4)),5,31),"Y")),"")</f>
        <v/>
      </c>
      <c r="L66" s="81" t="str">
        <f>IFERROR(IF(OR(H66="",H66=0),"",DATEDIF(IF(ISNUMBER(H66),H66,DATEVALUE(H66)),DATE(VALUE(RIGHT('INPUT DATA'!$F$18,4)),5,31),"YM")),"")</f>
        <v/>
      </c>
      <c r="M66" s="94" t="s">
        <v>51</v>
      </c>
      <c r="N66" s="59"/>
      <c r="O66" s="60"/>
      <c r="P66" s="60"/>
      <c r="Q66" s="60"/>
      <c r="R66" s="60"/>
      <c r="S66" s="60"/>
      <c r="T66" s="60"/>
      <c r="U66" s="60"/>
      <c r="V66" s="60"/>
      <c r="W66" s="60"/>
      <c r="X66" s="60"/>
      <c r="Y66" s="61"/>
      <c r="Z66" s="59"/>
      <c r="AA66" s="60"/>
      <c r="AB66" s="60"/>
      <c r="AC66" s="60"/>
      <c r="AD66" s="60"/>
      <c r="AE66" s="60"/>
      <c r="AF66" s="60"/>
      <c r="AG66" s="60"/>
      <c r="AH66" s="60"/>
      <c r="AI66" s="60"/>
      <c r="AJ66" s="60"/>
      <c r="AK66" s="60"/>
      <c r="AL66" s="60"/>
      <c r="AM66" s="60"/>
      <c r="AN66" s="60"/>
      <c r="AO66" s="60"/>
      <c r="AP66" s="60"/>
      <c r="AQ66" s="60"/>
      <c r="AR66" s="60"/>
      <c r="AS66" s="61"/>
      <c r="AT66" s="59"/>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1"/>
    </row>
    <row r="67" spans="1:73" ht="15.75" customHeight="1" x14ac:dyDescent="0.15">
      <c r="A67" s="7"/>
      <c r="B67" s="95">
        <v>2</v>
      </c>
      <c r="C67" s="145" t="str">
        <f>IF('INPUT DATA'!Q12="","",'INPUT DATA'!Q12)</f>
        <v/>
      </c>
      <c r="D67" s="139"/>
      <c r="E67" s="146"/>
      <c r="F67" s="147" t="str">
        <f>IF('INPUT DATA'!R12="","",'INPUT DATA'!R12)</f>
        <v/>
      </c>
      <c r="G67" s="146"/>
      <c r="H67" s="96" t="str">
        <f>IF('INPUT DATA'!S12="","",'INPUT DATA'!S12)</f>
        <v/>
      </c>
      <c r="I67" s="83" t="str">
        <f>IFERROR(IF(OR(H67="",H67=0),"",DATEDIF(IF(ISNUMBER(H67),H67,DATEVALUE(H67)),DATE(VALUE(LEFT('INPUT DATA'!$F$18,4)),6,1),"Y")),"")</f>
        <v/>
      </c>
      <c r="J67" s="83" t="str">
        <f>IFERROR(IF(OR(H67="",H67=0),"",DATEDIF(IF(ISNUMBER(H67),H67,DATEVALUE(H67)),DATE(VALUE(LEFT('INPUT DATA'!$F$18,4)),6,1),"YM")),"")</f>
        <v/>
      </c>
      <c r="K67" s="83" t="str">
        <f>IFERROR(IF(OR(H67="",H67=0),"",DATEDIF(IF(ISNUMBER(H67),H67,DATEVALUE(H67)),DATE(VALUE(RIGHT('INPUT DATA'!$F$18,4)),5,31),"Y")),"")</f>
        <v/>
      </c>
      <c r="L67" s="83" t="str">
        <f>IFERROR(IF(OR(H67="",H67=0),"",DATEDIF(IF(ISNUMBER(H67),H67,DATEVALUE(H67)),DATE(VALUE(RIGHT('INPUT DATA'!$F$18,4)),5,31),"YM")),"")</f>
        <v/>
      </c>
      <c r="M67" s="78" t="s">
        <v>51</v>
      </c>
      <c r="N67" s="68"/>
      <c r="O67" s="69"/>
      <c r="P67" s="69"/>
      <c r="Q67" s="69"/>
      <c r="R67" s="69"/>
      <c r="S67" s="69"/>
      <c r="T67" s="69"/>
      <c r="U67" s="69"/>
      <c r="V67" s="69"/>
      <c r="W67" s="69"/>
      <c r="X67" s="69"/>
      <c r="Y67" s="70"/>
      <c r="Z67" s="68"/>
      <c r="AA67" s="69"/>
      <c r="AB67" s="69"/>
      <c r="AC67" s="69"/>
      <c r="AD67" s="69"/>
      <c r="AE67" s="69"/>
      <c r="AF67" s="69"/>
      <c r="AG67" s="69"/>
      <c r="AH67" s="69"/>
      <c r="AI67" s="69"/>
      <c r="AJ67" s="69"/>
      <c r="AK67" s="69"/>
      <c r="AL67" s="69"/>
      <c r="AM67" s="69"/>
      <c r="AN67" s="69"/>
      <c r="AO67" s="69"/>
      <c r="AP67" s="69"/>
      <c r="AQ67" s="69"/>
      <c r="AR67" s="69"/>
      <c r="AS67" s="70"/>
      <c r="AT67" s="68"/>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70"/>
    </row>
    <row r="68" spans="1:73" ht="15.75" customHeight="1" x14ac:dyDescent="0.15">
      <c r="A68" s="7"/>
      <c r="B68" s="95">
        <v>3</v>
      </c>
      <c r="C68" s="145" t="str">
        <f>IF('INPUT DATA'!Q13="","",'INPUT DATA'!Q13)</f>
        <v/>
      </c>
      <c r="D68" s="139"/>
      <c r="E68" s="146"/>
      <c r="F68" s="147" t="str">
        <f>IF('INPUT DATA'!R13="","",'INPUT DATA'!R13)</f>
        <v/>
      </c>
      <c r="G68" s="146"/>
      <c r="H68" s="96" t="str">
        <f>IF('INPUT DATA'!S13="","",'INPUT DATA'!S13)</f>
        <v/>
      </c>
      <c r="I68" s="83" t="str">
        <f>IFERROR(IF(OR(H68="",H68=0),"",DATEDIF(IF(ISNUMBER(H68),H68,DATEVALUE(H68)),DATE(VALUE(LEFT('INPUT DATA'!$F$18,4)),6,1),"Y")),"")</f>
        <v/>
      </c>
      <c r="J68" s="83" t="str">
        <f>IFERROR(IF(OR(H68="",H68=0),"",DATEDIF(IF(ISNUMBER(H68),H68,DATEVALUE(H68)),DATE(VALUE(LEFT('INPUT DATA'!$F$18,4)),6,1),"YM")),"")</f>
        <v/>
      </c>
      <c r="K68" s="83" t="str">
        <f>IFERROR(IF(OR(H68="",H68=0),"",DATEDIF(IF(ISNUMBER(H68),H68,DATEVALUE(H68)),DATE(VALUE(RIGHT('INPUT DATA'!$F$18,4)),5,31),"Y")),"")</f>
        <v/>
      </c>
      <c r="L68" s="83" t="str">
        <f>IFERROR(IF(OR(H68="",H68=0),"",DATEDIF(IF(ISNUMBER(H68),H68,DATEVALUE(H68)),DATE(VALUE(RIGHT('INPUT DATA'!$F$18,4)),5,31),"YM")),"")</f>
        <v/>
      </c>
      <c r="M68" s="78" t="s">
        <v>51</v>
      </c>
      <c r="N68" s="73"/>
      <c r="O68" s="74"/>
      <c r="P68" s="74"/>
      <c r="Q68" s="74"/>
      <c r="R68" s="74"/>
      <c r="S68" s="74"/>
      <c r="T68" s="74"/>
      <c r="U68" s="74"/>
      <c r="V68" s="74"/>
      <c r="W68" s="74"/>
      <c r="X68" s="74"/>
      <c r="Y68" s="75"/>
      <c r="Z68" s="73"/>
      <c r="AA68" s="74"/>
      <c r="AB68" s="74"/>
      <c r="AC68" s="74"/>
      <c r="AD68" s="74"/>
      <c r="AE68" s="74"/>
      <c r="AF68" s="74"/>
      <c r="AG68" s="74"/>
      <c r="AH68" s="74"/>
      <c r="AI68" s="74"/>
      <c r="AJ68" s="74"/>
      <c r="AK68" s="74"/>
      <c r="AL68" s="74"/>
      <c r="AM68" s="74"/>
      <c r="AN68" s="74"/>
      <c r="AO68" s="74"/>
      <c r="AP68" s="74"/>
      <c r="AQ68" s="74"/>
      <c r="AR68" s="74"/>
      <c r="AS68" s="75"/>
      <c r="AT68" s="73"/>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5"/>
    </row>
    <row r="69" spans="1:73" ht="15.75" customHeight="1" x14ac:dyDescent="0.15">
      <c r="A69" s="7"/>
      <c r="B69" s="97">
        <v>4</v>
      </c>
      <c r="C69" s="145" t="str">
        <f>IF('INPUT DATA'!Q14="","",'INPUT DATA'!Q14)</f>
        <v/>
      </c>
      <c r="D69" s="139"/>
      <c r="E69" s="146"/>
      <c r="F69" s="147" t="str">
        <f>IF('INPUT DATA'!R14="","",'INPUT DATA'!R14)</f>
        <v/>
      </c>
      <c r="G69" s="146"/>
      <c r="H69" s="96" t="str">
        <f>IF('INPUT DATA'!S14="","",'INPUT DATA'!S14)</f>
        <v/>
      </c>
      <c r="I69" s="83" t="str">
        <f>IFERROR(IF(OR(H69="",H69=0),"",DATEDIF(IF(ISNUMBER(H69),H69,DATEVALUE(H69)),DATE(VALUE(LEFT('INPUT DATA'!$F$18,4)),6,1),"Y")),"")</f>
        <v/>
      </c>
      <c r="J69" s="83" t="str">
        <f>IFERROR(IF(OR(H69="",H69=0),"",DATEDIF(IF(ISNUMBER(H69),H69,DATEVALUE(H69)),DATE(VALUE(LEFT('INPUT DATA'!$F$18,4)),6,1),"YM")),"")</f>
        <v/>
      </c>
      <c r="K69" s="83" t="str">
        <f>IFERROR(IF(OR(H69="",H69=0),"",DATEDIF(IF(ISNUMBER(H69),H69,DATEVALUE(H69)),DATE(VALUE(RIGHT('INPUT DATA'!$F$18,4)),5,31),"Y")),"")</f>
        <v/>
      </c>
      <c r="L69" s="83" t="str">
        <f>IFERROR(IF(OR(H69="",H69=0),"",DATEDIF(IF(ISNUMBER(H69),H69,DATEVALUE(H69)),DATE(VALUE(RIGHT('INPUT DATA'!$F$18,4)),5,31),"YM")),"")</f>
        <v/>
      </c>
      <c r="M69" s="78" t="s">
        <v>51</v>
      </c>
      <c r="N69" s="73"/>
      <c r="O69" s="74"/>
      <c r="P69" s="74"/>
      <c r="Q69" s="74"/>
      <c r="R69" s="74"/>
      <c r="S69" s="74"/>
      <c r="T69" s="74"/>
      <c r="U69" s="74"/>
      <c r="V69" s="74"/>
      <c r="W69" s="74"/>
      <c r="X69" s="74"/>
      <c r="Y69" s="75"/>
      <c r="Z69" s="73"/>
      <c r="AA69" s="74"/>
      <c r="AB69" s="74"/>
      <c r="AC69" s="74"/>
      <c r="AD69" s="74"/>
      <c r="AE69" s="74"/>
      <c r="AF69" s="74"/>
      <c r="AG69" s="74"/>
      <c r="AH69" s="74"/>
      <c r="AI69" s="74"/>
      <c r="AJ69" s="74"/>
      <c r="AK69" s="74"/>
      <c r="AL69" s="74"/>
      <c r="AM69" s="74"/>
      <c r="AN69" s="74"/>
      <c r="AO69" s="74"/>
      <c r="AP69" s="74"/>
      <c r="AQ69" s="74"/>
      <c r="AR69" s="74"/>
      <c r="AS69" s="75"/>
      <c r="AT69" s="73"/>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5"/>
    </row>
    <row r="70" spans="1:73" ht="15.75" customHeight="1" x14ac:dyDescent="0.15">
      <c r="A70" s="7"/>
      <c r="B70" s="97">
        <v>5</v>
      </c>
      <c r="C70" s="145" t="str">
        <f>IF('INPUT DATA'!Q15="","",'INPUT DATA'!Q15)</f>
        <v/>
      </c>
      <c r="D70" s="139"/>
      <c r="E70" s="146"/>
      <c r="F70" s="147" t="str">
        <f>IF('INPUT DATA'!R15="","",'INPUT DATA'!R15)</f>
        <v/>
      </c>
      <c r="G70" s="146"/>
      <c r="H70" s="96" t="str">
        <f>IF('INPUT DATA'!S15="","",'INPUT DATA'!S15)</f>
        <v/>
      </c>
      <c r="I70" s="83" t="str">
        <f>IFERROR(IF(OR(H70="",H70=0),"",DATEDIF(IF(ISNUMBER(H70),H70,DATEVALUE(H70)),DATE(VALUE(LEFT('INPUT DATA'!$F$18,4)),6,1),"Y")),"")</f>
        <v/>
      </c>
      <c r="J70" s="83" t="str">
        <f>IFERROR(IF(OR(H70="",H70=0),"",DATEDIF(IF(ISNUMBER(H70),H70,DATEVALUE(H70)),DATE(VALUE(LEFT('INPUT DATA'!$F$18,4)),6,1),"YM")),"")</f>
        <v/>
      </c>
      <c r="K70" s="83" t="str">
        <f>IFERROR(IF(OR(H70="",H70=0),"",DATEDIF(IF(ISNUMBER(H70),H70,DATEVALUE(H70)),DATE(VALUE(RIGHT('INPUT DATA'!$F$18,4)),5,31),"Y")),"")</f>
        <v/>
      </c>
      <c r="L70" s="83" t="str">
        <f>IFERROR(IF(OR(H70="",H70=0),"",DATEDIF(IF(ISNUMBER(H70),H70,DATEVALUE(H70)),DATE(VALUE(RIGHT('INPUT DATA'!$F$18,4)),5,31),"YM")),"")</f>
        <v/>
      </c>
      <c r="M70" s="78" t="s">
        <v>51</v>
      </c>
      <c r="N70" s="73"/>
      <c r="O70" s="74"/>
      <c r="P70" s="74"/>
      <c r="Q70" s="74"/>
      <c r="R70" s="74"/>
      <c r="S70" s="74"/>
      <c r="T70" s="74"/>
      <c r="U70" s="74"/>
      <c r="V70" s="74"/>
      <c r="W70" s="74"/>
      <c r="X70" s="74"/>
      <c r="Y70" s="75"/>
      <c r="Z70" s="73"/>
      <c r="AA70" s="74"/>
      <c r="AB70" s="74"/>
      <c r="AC70" s="74"/>
      <c r="AD70" s="74"/>
      <c r="AE70" s="74"/>
      <c r="AF70" s="74"/>
      <c r="AG70" s="74"/>
      <c r="AH70" s="74"/>
      <c r="AI70" s="74"/>
      <c r="AJ70" s="74"/>
      <c r="AK70" s="74"/>
      <c r="AL70" s="74"/>
      <c r="AM70" s="74"/>
      <c r="AN70" s="74"/>
      <c r="AO70" s="74"/>
      <c r="AP70" s="74"/>
      <c r="AQ70" s="74"/>
      <c r="AR70" s="74"/>
      <c r="AS70" s="75"/>
      <c r="AT70" s="73"/>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5"/>
    </row>
    <row r="71" spans="1:73" ht="15.75" customHeight="1" x14ac:dyDescent="0.15">
      <c r="A71" s="7"/>
      <c r="B71" s="97">
        <v>6</v>
      </c>
      <c r="C71" s="145" t="str">
        <f>IF('INPUT DATA'!Q16="","",'INPUT DATA'!Q16)</f>
        <v/>
      </c>
      <c r="D71" s="139"/>
      <c r="E71" s="146"/>
      <c r="F71" s="147" t="str">
        <f>IF('INPUT DATA'!R16="","",'INPUT DATA'!R16)</f>
        <v/>
      </c>
      <c r="G71" s="146"/>
      <c r="H71" s="96" t="str">
        <f>IF('INPUT DATA'!S16="","",'INPUT DATA'!S16)</f>
        <v/>
      </c>
      <c r="I71" s="83" t="str">
        <f>IFERROR(IF(OR(H71="",H71=0),"",DATEDIF(IF(ISNUMBER(H71),H71,DATEVALUE(H71)),DATE(VALUE(LEFT('INPUT DATA'!$F$18,4)),6,1),"Y")),"")</f>
        <v/>
      </c>
      <c r="J71" s="83" t="str">
        <f>IFERROR(IF(OR(H71="",H71=0),"",DATEDIF(IF(ISNUMBER(H71),H71,DATEVALUE(H71)),DATE(VALUE(LEFT('INPUT DATA'!$F$18,4)),6,1),"YM")),"")</f>
        <v/>
      </c>
      <c r="K71" s="83" t="str">
        <f>IFERROR(IF(OR(H71="",H71=0),"",DATEDIF(IF(ISNUMBER(H71),H71,DATEVALUE(H71)),DATE(VALUE(RIGHT('INPUT DATA'!$F$18,4)),5,31),"Y")),"")</f>
        <v/>
      </c>
      <c r="L71" s="83" t="str">
        <f>IFERROR(IF(OR(H71="",H71=0),"",DATEDIF(IF(ISNUMBER(H71),H71,DATEVALUE(H71)),DATE(VALUE(RIGHT('INPUT DATA'!$F$18,4)),5,31),"YM")),"")</f>
        <v/>
      </c>
      <c r="M71" s="78" t="s">
        <v>51</v>
      </c>
      <c r="N71" s="68"/>
      <c r="O71" s="69"/>
      <c r="P71" s="69"/>
      <c r="Q71" s="69"/>
      <c r="R71" s="69"/>
      <c r="S71" s="69"/>
      <c r="T71" s="69"/>
      <c r="U71" s="69"/>
      <c r="V71" s="69"/>
      <c r="W71" s="69"/>
      <c r="X71" s="74"/>
      <c r="Y71" s="75"/>
      <c r="Z71" s="68"/>
      <c r="AA71" s="69"/>
      <c r="AB71" s="69"/>
      <c r="AC71" s="69"/>
      <c r="AD71" s="69"/>
      <c r="AE71" s="69"/>
      <c r="AF71" s="69"/>
      <c r="AG71" s="69"/>
      <c r="AH71" s="69"/>
      <c r="AI71" s="69"/>
      <c r="AJ71" s="69"/>
      <c r="AK71" s="69"/>
      <c r="AL71" s="69"/>
      <c r="AM71" s="69"/>
      <c r="AN71" s="69"/>
      <c r="AO71" s="69"/>
      <c r="AP71" s="69"/>
      <c r="AQ71" s="69"/>
      <c r="AR71" s="69"/>
      <c r="AS71" s="75"/>
      <c r="AT71" s="68"/>
      <c r="AU71" s="69"/>
      <c r="AV71" s="69"/>
      <c r="AW71" s="69"/>
      <c r="AX71" s="69"/>
      <c r="AY71" s="74"/>
      <c r="AZ71" s="74"/>
      <c r="BA71" s="74"/>
      <c r="BB71" s="74"/>
      <c r="BC71" s="74"/>
      <c r="BD71" s="74"/>
      <c r="BE71" s="74"/>
      <c r="BF71" s="74"/>
      <c r="BG71" s="74"/>
      <c r="BH71" s="74"/>
      <c r="BI71" s="74"/>
      <c r="BJ71" s="74"/>
      <c r="BK71" s="74"/>
      <c r="BL71" s="74"/>
      <c r="BM71" s="74"/>
      <c r="BN71" s="74"/>
      <c r="BO71" s="74"/>
      <c r="BP71" s="74"/>
      <c r="BQ71" s="74"/>
      <c r="BR71" s="74"/>
      <c r="BS71" s="74"/>
      <c r="BT71" s="74"/>
      <c r="BU71" s="75"/>
    </row>
    <row r="72" spans="1:73" ht="15.75" customHeight="1" x14ac:dyDescent="0.15">
      <c r="A72" s="7"/>
      <c r="B72" s="97">
        <v>7</v>
      </c>
      <c r="C72" s="145" t="str">
        <f>IF('INPUT DATA'!Q17="","",'INPUT DATA'!Q17)</f>
        <v/>
      </c>
      <c r="D72" s="139"/>
      <c r="E72" s="146"/>
      <c r="F72" s="147" t="str">
        <f>IF('INPUT DATA'!R17="","",'INPUT DATA'!R17)</f>
        <v/>
      </c>
      <c r="G72" s="146"/>
      <c r="H72" s="96" t="str">
        <f>IF('INPUT DATA'!S17="","",'INPUT DATA'!S17)</f>
        <v/>
      </c>
      <c r="I72" s="83" t="str">
        <f>IFERROR(IF(OR(H72="",H72=0),"",DATEDIF(IF(ISNUMBER(H72),H72,DATEVALUE(H72)),DATE(VALUE(LEFT('INPUT DATA'!$F$18,4)),6,1),"Y")),"")</f>
        <v/>
      </c>
      <c r="J72" s="83" t="str">
        <f>IFERROR(IF(OR(H72="",H72=0),"",DATEDIF(IF(ISNUMBER(H72),H72,DATEVALUE(H72)),DATE(VALUE(LEFT('INPUT DATA'!$F$18,4)),6,1),"YM")),"")</f>
        <v/>
      </c>
      <c r="K72" s="83" t="str">
        <f>IFERROR(IF(OR(H72="",H72=0),"",DATEDIF(IF(ISNUMBER(H72),H72,DATEVALUE(H72)),DATE(VALUE(RIGHT('INPUT DATA'!$F$18,4)),5,31),"Y")),"")</f>
        <v/>
      </c>
      <c r="L72" s="83" t="str">
        <f>IFERROR(IF(OR(H72="",H72=0),"",DATEDIF(IF(ISNUMBER(H72),H72,DATEVALUE(H72)),DATE(VALUE(RIGHT('INPUT DATA'!$F$18,4)),5,31),"YM")),"")</f>
        <v/>
      </c>
      <c r="M72" s="78" t="s">
        <v>51</v>
      </c>
      <c r="N72" s="73"/>
      <c r="O72" s="74"/>
      <c r="P72" s="74"/>
      <c r="Q72" s="74"/>
      <c r="R72" s="74"/>
      <c r="S72" s="74"/>
      <c r="T72" s="74"/>
      <c r="U72" s="74"/>
      <c r="V72" s="74"/>
      <c r="W72" s="74"/>
      <c r="X72" s="74"/>
      <c r="Y72" s="75"/>
      <c r="Z72" s="73"/>
      <c r="AA72" s="74"/>
      <c r="AB72" s="74"/>
      <c r="AC72" s="74"/>
      <c r="AD72" s="74"/>
      <c r="AE72" s="74"/>
      <c r="AF72" s="74"/>
      <c r="AG72" s="74"/>
      <c r="AH72" s="74"/>
      <c r="AI72" s="74"/>
      <c r="AJ72" s="74"/>
      <c r="AK72" s="74"/>
      <c r="AL72" s="74"/>
      <c r="AM72" s="74"/>
      <c r="AN72" s="74"/>
      <c r="AO72" s="74"/>
      <c r="AP72" s="74"/>
      <c r="AQ72" s="74"/>
      <c r="AR72" s="74"/>
      <c r="AS72" s="75"/>
      <c r="AT72" s="73"/>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5"/>
    </row>
    <row r="73" spans="1:73" ht="15.75" customHeight="1" x14ac:dyDescent="0.15">
      <c r="A73" s="7"/>
      <c r="B73" s="97">
        <v>8</v>
      </c>
      <c r="C73" s="145" t="str">
        <f>IF('INPUT DATA'!Q18="","",'INPUT DATA'!Q18)</f>
        <v/>
      </c>
      <c r="D73" s="139"/>
      <c r="E73" s="146"/>
      <c r="F73" s="147" t="str">
        <f>IF('INPUT DATA'!R18="","",'INPUT DATA'!R18)</f>
        <v/>
      </c>
      <c r="G73" s="146"/>
      <c r="H73" s="96" t="str">
        <f>IF('INPUT DATA'!S18="","",'INPUT DATA'!S18)</f>
        <v/>
      </c>
      <c r="I73" s="83" t="str">
        <f>IFERROR(IF(OR(H73="",H73=0),"",DATEDIF(IF(ISNUMBER(H73),H73,DATEVALUE(H73)),DATE(VALUE(LEFT('INPUT DATA'!$F$18,4)),6,1),"Y")),"")</f>
        <v/>
      </c>
      <c r="J73" s="83" t="str">
        <f>IFERROR(IF(OR(H73="",H73=0),"",DATEDIF(IF(ISNUMBER(H73),H73,DATEVALUE(H73)),DATE(VALUE(LEFT('INPUT DATA'!$F$18,4)),6,1),"YM")),"")</f>
        <v/>
      </c>
      <c r="K73" s="83" t="str">
        <f>IFERROR(IF(OR(H73="",H73=0),"",DATEDIF(IF(ISNUMBER(H73),H73,DATEVALUE(H73)),DATE(VALUE(RIGHT('INPUT DATA'!$F$18,4)),5,31),"Y")),"")</f>
        <v/>
      </c>
      <c r="L73" s="83" t="str">
        <f>IFERROR(IF(OR(H73="",H73=0),"",DATEDIF(IF(ISNUMBER(H73),H73,DATEVALUE(H73)),DATE(VALUE(RIGHT('INPUT DATA'!$F$18,4)),5,31),"YM")),"")</f>
        <v/>
      </c>
      <c r="M73" s="78" t="s">
        <v>51</v>
      </c>
      <c r="N73" s="73"/>
      <c r="O73" s="74"/>
      <c r="P73" s="74"/>
      <c r="Q73" s="74"/>
      <c r="R73" s="74"/>
      <c r="S73" s="74"/>
      <c r="T73" s="74"/>
      <c r="U73" s="74"/>
      <c r="V73" s="74"/>
      <c r="W73" s="74"/>
      <c r="X73" s="74"/>
      <c r="Y73" s="75"/>
      <c r="Z73" s="73"/>
      <c r="AA73" s="74"/>
      <c r="AB73" s="74"/>
      <c r="AC73" s="74"/>
      <c r="AD73" s="74"/>
      <c r="AE73" s="74"/>
      <c r="AF73" s="74"/>
      <c r="AG73" s="74"/>
      <c r="AH73" s="74"/>
      <c r="AI73" s="74"/>
      <c r="AJ73" s="74"/>
      <c r="AK73" s="74"/>
      <c r="AL73" s="74"/>
      <c r="AM73" s="74"/>
      <c r="AN73" s="74"/>
      <c r="AO73" s="74"/>
      <c r="AP73" s="74"/>
      <c r="AQ73" s="74"/>
      <c r="AR73" s="74"/>
      <c r="AS73" s="75"/>
      <c r="AT73" s="73"/>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5"/>
    </row>
    <row r="74" spans="1:73" ht="15.75" customHeight="1" x14ac:dyDescent="0.15">
      <c r="A74" s="7"/>
      <c r="B74" s="97">
        <v>9</v>
      </c>
      <c r="C74" s="145" t="str">
        <f>IF('INPUT DATA'!Q19="","",'INPUT DATA'!Q19)</f>
        <v/>
      </c>
      <c r="D74" s="139"/>
      <c r="E74" s="146"/>
      <c r="F74" s="147" t="str">
        <f>IF('INPUT DATA'!R19="","",'INPUT DATA'!R19)</f>
        <v/>
      </c>
      <c r="G74" s="146"/>
      <c r="H74" s="96" t="str">
        <f>IF('INPUT DATA'!S19="","",'INPUT DATA'!S19)</f>
        <v/>
      </c>
      <c r="I74" s="83" t="str">
        <f>IFERROR(IF(OR(H74="",H74=0),"",DATEDIF(IF(ISNUMBER(H74),H74,DATEVALUE(H74)),DATE(VALUE(LEFT('INPUT DATA'!$F$18,4)),6,1),"Y")),"")</f>
        <v/>
      </c>
      <c r="J74" s="83" t="str">
        <f>IFERROR(IF(OR(H74="",H74=0),"",DATEDIF(IF(ISNUMBER(H74),H74,DATEVALUE(H74)),DATE(VALUE(LEFT('INPUT DATA'!$F$18,4)),6,1),"YM")),"")</f>
        <v/>
      </c>
      <c r="K74" s="83" t="str">
        <f>IFERROR(IF(OR(H74="",H74=0),"",DATEDIF(IF(ISNUMBER(H74),H74,DATEVALUE(H74)),DATE(VALUE(RIGHT('INPUT DATA'!$F$18,4)),5,31),"Y")),"")</f>
        <v/>
      </c>
      <c r="L74" s="83" t="str">
        <f>IFERROR(IF(OR(H74="",H74=0),"",DATEDIF(IF(ISNUMBER(H74),H74,DATEVALUE(H74)),DATE(VALUE(RIGHT('INPUT DATA'!$F$18,4)),5,31),"YM")),"")</f>
        <v/>
      </c>
      <c r="M74" s="78" t="s">
        <v>51</v>
      </c>
      <c r="N74" s="73"/>
      <c r="O74" s="74"/>
      <c r="P74" s="74"/>
      <c r="Q74" s="74"/>
      <c r="R74" s="74"/>
      <c r="S74" s="74"/>
      <c r="T74" s="74"/>
      <c r="U74" s="74"/>
      <c r="V74" s="74"/>
      <c r="W74" s="74"/>
      <c r="X74" s="74"/>
      <c r="Y74" s="75"/>
      <c r="Z74" s="73"/>
      <c r="AA74" s="74"/>
      <c r="AB74" s="74"/>
      <c r="AC74" s="74"/>
      <c r="AD74" s="74"/>
      <c r="AE74" s="74"/>
      <c r="AF74" s="74"/>
      <c r="AG74" s="74"/>
      <c r="AH74" s="74"/>
      <c r="AI74" s="74"/>
      <c r="AJ74" s="74"/>
      <c r="AK74" s="74"/>
      <c r="AL74" s="74"/>
      <c r="AM74" s="74"/>
      <c r="AN74" s="74"/>
      <c r="AO74" s="74"/>
      <c r="AP74" s="74"/>
      <c r="AQ74" s="74"/>
      <c r="AR74" s="74"/>
      <c r="AS74" s="75"/>
      <c r="AT74" s="73"/>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5"/>
    </row>
    <row r="75" spans="1:73" ht="15.75" customHeight="1" x14ac:dyDescent="0.15">
      <c r="A75" s="7"/>
      <c r="B75" s="97">
        <v>10</v>
      </c>
      <c r="C75" s="145" t="str">
        <f>IF('INPUT DATA'!Q20="","",'INPUT DATA'!Q20)</f>
        <v/>
      </c>
      <c r="D75" s="139"/>
      <c r="E75" s="146"/>
      <c r="F75" s="147" t="str">
        <f>IF('INPUT DATA'!R20="","",'INPUT DATA'!R20)</f>
        <v/>
      </c>
      <c r="G75" s="146"/>
      <c r="H75" s="96" t="str">
        <f>IF('INPUT DATA'!S20="","",'INPUT DATA'!S20)</f>
        <v/>
      </c>
      <c r="I75" s="83" t="str">
        <f>IFERROR(IF(OR(H75="",H75=0),"",DATEDIF(IF(ISNUMBER(H75),H75,DATEVALUE(H75)),DATE(VALUE(LEFT('INPUT DATA'!$F$18,4)),6,1),"Y")),"")</f>
        <v/>
      </c>
      <c r="J75" s="83" t="str">
        <f>IFERROR(IF(OR(H75="",H75=0),"",DATEDIF(IF(ISNUMBER(H75),H75,DATEVALUE(H75)),DATE(VALUE(LEFT('INPUT DATA'!$F$18,4)),6,1),"YM")),"")</f>
        <v/>
      </c>
      <c r="K75" s="83" t="str">
        <f>IFERROR(IF(OR(H75="",H75=0),"",DATEDIF(IF(ISNUMBER(H75),H75,DATEVALUE(H75)),DATE(VALUE(RIGHT('INPUT DATA'!$F$18,4)),5,31),"Y")),"")</f>
        <v/>
      </c>
      <c r="L75" s="83" t="str">
        <f>IFERROR(IF(OR(H75="",H75=0),"",DATEDIF(IF(ISNUMBER(H75),H75,DATEVALUE(H75)),DATE(VALUE(RIGHT('INPUT DATA'!$F$18,4)),5,31),"YM")),"")</f>
        <v/>
      </c>
      <c r="M75" s="78" t="s">
        <v>51</v>
      </c>
      <c r="N75" s="73"/>
      <c r="O75" s="74"/>
      <c r="P75" s="74"/>
      <c r="Q75" s="74"/>
      <c r="R75" s="74"/>
      <c r="S75" s="74"/>
      <c r="T75" s="74"/>
      <c r="U75" s="74"/>
      <c r="V75" s="74"/>
      <c r="W75" s="74"/>
      <c r="X75" s="74"/>
      <c r="Y75" s="75"/>
      <c r="Z75" s="73"/>
      <c r="AA75" s="74"/>
      <c r="AB75" s="74"/>
      <c r="AC75" s="74"/>
      <c r="AD75" s="74"/>
      <c r="AE75" s="74"/>
      <c r="AF75" s="74"/>
      <c r="AG75" s="74"/>
      <c r="AH75" s="74"/>
      <c r="AI75" s="74"/>
      <c r="AJ75" s="74"/>
      <c r="AK75" s="74"/>
      <c r="AL75" s="74"/>
      <c r="AM75" s="74"/>
      <c r="AN75" s="74"/>
      <c r="AO75" s="74"/>
      <c r="AP75" s="74"/>
      <c r="AQ75" s="74"/>
      <c r="AR75" s="74"/>
      <c r="AS75" s="75"/>
      <c r="AT75" s="73"/>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5"/>
    </row>
    <row r="76" spans="1:73" ht="15.75" customHeight="1" x14ac:dyDescent="0.15">
      <c r="A76" s="7"/>
      <c r="B76" s="97">
        <v>11</v>
      </c>
      <c r="C76" s="145" t="str">
        <f>IF('INPUT DATA'!Q21="","",'INPUT DATA'!Q21)</f>
        <v/>
      </c>
      <c r="D76" s="139"/>
      <c r="E76" s="146"/>
      <c r="F76" s="147" t="str">
        <f>IF('INPUT DATA'!R21="","",'INPUT DATA'!R21)</f>
        <v/>
      </c>
      <c r="G76" s="146"/>
      <c r="H76" s="96" t="str">
        <f>IF('INPUT DATA'!S21="","",'INPUT DATA'!S21)</f>
        <v/>
      </c>
      <c r="I76" s="83" t="str">
        <f>IFERROR(IF(OR(H76="",H76=0),"",DATEDIF(IF(ISNUMBER(H76),H76,DATEVALUE(H76)),DATE(VALUE(LEFT('INPUT DATA'!$F$18,4)),6,1),"Y")),"")</f>
        <v/>
      </c>
      <c r="J76" s="83" t="str">
        <f>IFERROR(IF(OR(H76="",H76=0),"",DATEDIF(IF(ISNUMBER(H76),H76,DATEVALUE(H76)),DATE(VALUE(LEFT('INPUT DATA'!$F$18,4)),6,1),"YM")),"")</f>
        <v/>
      </c>
      <c r="K76" s="83" t="str">
        <f>IFERROR(IF(OR(H76="",H76=0),"",DATEDIF(IF(ISNUMBER(H76),H76,DATEVALUE(H76)),DATE(VALUE(RIGHT('INPUT DATA'!$F$18,4)),5,31),"Y")),"")</f>
        <v/>
      </c>
      <c r="L76" s="83" t="str">
        <f>IFERROR(IF(OR(H76="",H76=0),"",DATEDIF(IF(ISNUMBER(H76),H76,DATEVALUE(H76)),DATE(VALUE(RIGHT('INPUT DATA'!$F$18,4)),5,31),"YM")),"")</f>
        <v/>
      </c>
      <c r="M76" s="78" t="s">
        <v>51</v>
      </c>
      <c r="N76" s="73"/>
      <c r="O76" s="74"/>
      <c r="P76" s="74"/>
      <c r="Q76" s="74"/>
      <c r="R76" s="74"/>
      <c r="S76" s="74"/>
      <c r="T76" s="74"/>
      <c r="U76" s="74"/>
      <c r="V76" s="74"/>
      <c r="W76" s="74"/>
      <c r="X76" s="74"/>
      <c r="Y76" s="75"/>
      <c r="Z76" s="73"/>
      <c r="AA76" s="74"/>
      <c r="AB76" s="74"/>
      <c r="AC76" s="74"/>
      <c r="AD76" s="74"/>
      <c r="AE76" s="74"/>
      <c r="AF76" s="74"/>
      <c r="AG76" s="74"/>
      <c r="AH76" s="74"/>
      <c r="AI76" s="74"/>
      <c r="AJ76" s="74"/>
      <c r="AK76" s="74"/>
      <c r="AL76" s="74"/>
      <c r="AM76" s="74"/>
      <c r="AN76" s="74"/>
      <c r="AO76" s="74"/>
      <c r="AP76" s="74"/>
      <c r="AQ76" s="74"/>
      <c r="AR76" s="74"/>
      <c r="AS76" s="75"/>
      <c r="AT76" s="73"/>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5"/>
    </row>
    <row r="77" spans="1:73" ht="15.75" customHeight="1" x14ac:dyDescent="0.15">
      <c r="A77" s="7"/>
      <c r="B77" s="97">
        <v>12</v>
      </c>
      <c r="C77" s="145" t="str">
        <f>IF('INPUT DATA'!Q22="","",'INPUT DATA'!Q22)</f>
        <v/>
      </c>
      <c r="D77" s="139"/>
      <c r="E77" s="146"/>
      <c r="F77" s="147" t="str">
        <f>IF('INPUT DATA'!R22="","",'INPUT DATA'!R22)</f>
        <v/>
      </c>
      <c r="G77" s="146"/>
      <c r="H77" s="96" t="str">
        <f>IF('INPUT DATA'!S22="","",'INPUT DATA'!S22)</f>
        <v/>
      </c>
      <c r="I77" s="83" t="str">
        <f>IFERROR(IF(OR(H77="",H77=0),"",DATEDIF(IF(ISNUMBER(H77),H77,DATEVALUE(H77)),DATE(VALUE(LEFT('INPUT DATA'!$F$18,4)),6,1),"Y")),"")</f>
        <v/>
      </c>
      <c r="J77" s="83" t="str">
        <f>IFERROR(IF(OR(H77="",H77=0),"",DATEDIF(IF(ISNUMBER(H77),H77,DATEVALUE(H77)),DATE(VALUE(LEFT('INPUT DATA'!$F$18,4)),6,1),"YM")),"")</f>
        <v/>
      </c>
      <c r="K77" s="83" t="str">
        <f>IFERROR(IF(OR(H77="",H77=0),"",DATEDIF(IF(ISNUMBER(H77),H77,DATEVALUE(H77)),DATE(VALUE(RIGHT('INPUT DATA'!$F$18,4)),5,31),"Y")),"")</f>
        <v/>
      </c>
      <c r="L77" s="83" t="str">
        <f>IFERROR(IF(OR(H77="",H77=0),"",DATEDIF(IF(ISNUMBER(H77),H77,DATEVALUE(H77)),DATE(VALUE(RIGHT('INPUT DATA'!$F$18,4)),5,31),"YM")),"")</f>
        <v/>
      </c>
      <c r="M77" s="78" t="s">
        <v>51</v>
      </c>
      <c r="N77" s="73"/>
      <c r="O77" s="74"/>
      <c r="P77" s="74"/>
      <c r="Q77" s="74"/>
      <c r="R77" s="74"/>
      <c r="S77" s="74"/>
      <c r="T77" s="74"/>
      <c r="U77" s="74"/>
      <c r="V77" s="74"/>
      <c r="W77" s="74"/>
      <c r="X77" s="74"/>
      <c r="Y77" s="75"/>
      <c r="Z77" s="73"/>
      <c r="AA77" s="74"/>
      <c r="AB77" s="74"/>
      <c r="AC77" s="74"/>
      <c r="AD77" s="74"/>
      <c r="AE77" s="74"/>
      <c r="AF77" s="74"/>
      <c r="AG77" s="74"/>
      <c r="AH77" s="74"/>
      <c r="AI77" s="74"/>
      <c r="AJ77" s="74"/>
      <c r="AK77" s="74"/>
      <c r="AL77" s="74"/>
      <c r="AM77" s="74"/>
      <c r="AN77" s="74"/>
      <c r="AO77" s="74"/>
      <c r="AP77" s="74"/>
      <c r="AQ77" s="74"/>
      <c r="AR77" s="74"/>
      <c r="AS77" s="75"/>
      <c r="AT77" s="73"/>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5"/>
    </row>
    <row r="78" spans="1:73" ht="15.75" customHeight="1" x14ac:dyDescent="0.15">
      <c r="A78" s="7"/>
      <c r="B78" s="97">
        <v>13</v>
      </c>
      <c r="C78" s="145" t="str">
        <f>IF('INPUT DATA'!Q23="","",'INPUT DATA'!Q23)</f>
        <v/>
      </c>
      <c r="D78" s="139"/>
      <c r="E78" s="146"/>
      <c r="F78" s="147" t="str">
        <f>IF('INPUT DATA'!R23="","",'INPUT DATA'!R23)</f>
        <v/>
      </c>
      <c r="G78" s="146"/>
      <c r="H78" s="96" t="str">
        <f>IF('INPUT DATA'!S23="","",'INPUT DATA'!S23)</f>
        <v/>
      </c>
      <c r="I78" s="83" t="str">
        <f>IFERROR(IF(OR(H78="",H78=0),"",DATEDIF(IF(ISNUMBER(H78),H78,DATEVALUE(H78)),DATE(VALUE(LEFT('INPUT DATA'!$F$18,4)),6,1),"Y")),"")</f>
        <v/>
      </c>
      <c r="J78" s="83" t="str">
        <f>IFERROR(IF(OR(H78="",H78=0),"",DATEDIF(IF(ISNUMBER(H78),H78,DATEVALUE(H78)),DATE(VALUE(LEFT('INPUT DATA'!$F$18,4)),6,1),"YM")),"")</f>
        <v/>
      </c>
      <c r="K78" s="83" t="str">
        <f>IFERROR(IF(OR(H78="",H78=0),"",DATEDIF(IF(ISNUMBER(H78),H78,DATEVALUE(H78)),DATE(VALUE(RIGHT('INPUT DATA'!$F$18,4)),5,31),"Y")),"")</f>
        <v/>
      </c>
      <c r="L78" s="83" t="str">
        <f>IFERROR(IF(OR(H78="",H78=0),"",DATEDIF(IF(ISNUMBER(H78),H78,DATEVALUE(H78)),DATE(VALUE(RIGHT('INPUT DATA'!$F$18,4)),5,31),"YM")),"")</f>
        <v/>
      </c>
      <c r="M78" s="78" t="s">
        <v>51</v>
      </c>
      <c r="N78" s="73"/>
      <c r="O78" s="74"/>
      <c r="P78" s="74"/>
      <c r="Q78" s="74"/>
      <c r="R78" s="74"/>
      <c r="S78" s="74"/>
      <c r="T78" s="74"/>
      <c r="U78" s="74"/>
      <c r="V78" s="74"/>
      <c r="W78" s="74"/>
      <c r="X78" s="74"/>
      <c r="Y78" s="75"/>
      <c r="Z78" s="73"/>
      <c r="AA78" s="74"/>
      <c r="AB78" s="74"/>
      <c r="AC78" s="74"/>
      <c r="AD78" s="74"/>
      <c r="AE78" s="74"/>
      <c r="AF78" s="74"/>
      <c r="AG78" s="74"/>
      <c r="AH78" s="74"/>
      <c r="AI78" s="74"/>
      <c r="AJ78" s="74"/>
      <c r="AK78" s="74"/>
      <c r="AL78" s="74"/>
      <c r="AM78" s="74"/>
      <c r="AN78" s="74"/>
      <c r="AO78" s="74"/>
      <c r="AP78" s="74"/>
      <c r="AQ78" s="74"/>
      <c r="AR78" s="74"/>
      <c r="AS78" s="75"/>
      <c r="AT78" s="73"/>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5"/>
    </row>
    <row r="79" spans="1:73" ht="15.75" customHeight="1" x14ac:dyDescent="0.15">
      <c r="A79" s="7"/>
      <c r="B79" s="97">
        <v>14</v>
      </c>
      <c r="C79" s="145" t="str">
        <f>IF('INPUT DATA'!Q24="","",'INPUT DATA'!Q24)</f>
        <v/>
      </c>
      <c r="D79" s="139"/>
      <c r="E79" s="146"/>
      <c r="F79" s="147" t="str">
        <f>IF('INPUT DATA'!R24="","",'INPUT DATA'!R24)</f>
        <v/>
      </c>
      <c r="G79" s="146"/>
      <c r="H79" s="96" t="str">
        <f>IF('INPUT DATA'!S24="","",'INPUT DATA'!S24)</f>
        <v/>
      </c>
      <c r="I79" s="83" t="str">
        <f>IFERROR(IF(OR(H79="",H79=0),"",DATEDIF(IF(ISNUMBER(H79),H79,DATEVALUE(H79)),DATE(VALUE(LEFT('INPUT DATA'!$F$18,4)),6,1),"Y")),"")</f>
        <v/>
      </c>
      <c r="J79" s="83" t="str">
        <f>IFERROR(IF(OR(H79="",H79=0),"",DATEDIF(IF(ISNUMBER(H79),H79,DATEVALUE(H79)),DATE(VALUE(LEFT('INPUT DATA'!$F$18,4)),6,1),"YM")),"")</f>
        <v/>
      </c>
      <c r="K79" s="83" t="str">
        <f>IFERROR(IF(OR(H79="",H79=0),"",DATEDIF(IF(ISNUMBER(H79),H79,DATEVALUE(H79)),DATE(VALUE(RIGHT('INPUT DATA'!$F$18,4)),5,31),"Y")),"")</f>
        <v/>
      </c>
      <c r="L79" s="83" t="str">
        <f>IFERROR(IF(OR(H79="",H79=0),"",DATEDIF(IF(ISNUMBER(H79),H79,DATEVALUE(H79)),DATE(VALUE(RIGHT('INPUT DATA'!$F$18,4)),5,31),"YM")),"")</f>
        <v/>
      </c>
      <c r="M79" s="78" t="s">
        <v>51</v>
      </c>
      <c r="N79" s="73"/>
      <c r="O79" s="74"/>
      <c r="P79" s="74"/>
      <c r="Q79" s="74"/>
      <c r="R79" s="74"/>
      <c r="S79" s="74"/>
      <c r="T79" s="74"/>
      <c r="U79" s="74"/>
      <c r="V79" s="74"/>
      <c r="W79" s="74"/>
      <c r="X79" s="74"/>
      <c r="Y79" s="75"/>
      <c r="Z79" s="73"/>
      <c r="AA79" s="74"/>
      <c r="AB79" s="74"/>
      <c r="AC79" s="74"/>
      <c r="AD79" s="74"/>
      <c r="AE79" s="74"/>
      <c r="AF79" s="74"/>
      <c r="AG79" s="74"/>
      <c r="AH79" s="74"/>
      <c r="AI79" s="74"/>
      <c r="AJ79" s="74"/>
      <c r="AK79" s="74"/>
      <c r="AL79" s="74"/>
      <c r="AM79" s="74"/>
      <c r="AN79" s="74"/>
      <c r="AO79" s="74"/>
      <c r="AP79" s="74"/>
      <c r="AQ79" s="74"/>
      <c r="AR79" s="74"/>
      <c r="AS79" s="75"/>
      <c r="AT79" s="73"/>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5"/>
    </row>
    <row r="80" spans="1:73" ht="15.75" customHeight="1" x14ac:dyDescent="0.15">
      <c r="A80" s="7"/>
      <c r="B80" s="97">
        <v>15</v>
      </c>
      <c r="C80" s="145" t="str">
        <f>IF('INPUT DATA'!Q25="","",'INPUT DATA'!Q25)</f>
        <v/>
      </c>
      <c r="D80" s="139"/>
      <c r="E80" s="146"/>
      <c r="F80" s="147" t="str">
        <f>IF('INPUT DATA'!R25="","",'INPUT DATA'!R25)</f>
        <v/>
      </c>
      <c r="G80" s="146"/>
      <c r="H80" s="96" t="str">
        <f>IF('INPUT DATA'!S25="","",'INPUT DATA'!S25)</f>
        <v/>
      </c>
      <c r="I80" s="83" t="str">
        <f>IFERROR(IF(OR(H80="",H80=0),"",DATEDIF(IF(ISNUMBER(H80),H80,DATEVALUE(H80)),DATE(VALUE(LEFT('INPUT DATA'!$F$18,4)),6,1),"Y")),"")</f>
        <v/>
      </c>
      <c r="J80" s="83" t="str">
        <f>IFERROR(IF(OR(H80="",H80=0),"",DATEDIF(IF(ISNUMBER(H80),H80,DATEVALUE(H80)),DATE(VALUE(LEFT('INPUT DATA'!$F$18,4)),6,1),"YM")),"")</f>
        <v/>
      </c>
      <c r="K80" s="83" t="str">
        <f>IFERROR(IF(OR(H80="",H80=0),"",DATEDIF(IF(ISNUMBER(H80),H80,DATEVALUE(H80)),DATE(VALUE(RIGHT('INPUT DATA'!$F$18,4)),5,31),"Y")),"")</f>
        <v/>
      </c>
      <c r="L80" s="83" t="str">
        <f>IFERROR(IF(OR(H80="",H80=0),"",DATEDIF(IF(ISNUMBER(H80),H80,DATEVALUE(H80)),DATE(VALUE(RIGHT('INPUT DATA'!$F$18,4)),5,31),"YM")),"")</f>
        <v/>
      </c>
      <c r="M80" s="78" t="s">
        <v>51</v>
      </c>
      <c r="N80" s="73"/>
      <c r="O80" s="74"/>
      <c r="P80" s="74"/>
      <c r="Q80" s="74"/>
      <c r="R80" s="74"/>
      <c r="S80" s="74"/>
      <c r="T80" s="74"/>
      <c r="U80" s="74"/>
      <c r="V80" s="74"/>
      <c r="W80" s="74"/>
      <c r="X80" s="74"/>
      <c r="Y80" s="75"/>
      <c r="Z80" s="73"/>
      <c r="AA80" s="74"/>
      <c r="AB80" s="74"/>
      <c r="AC80" s="74"/>
      <c r="AD80" s="74"/>
      <c r="AE80" s="74"/>
      <c r="AF80" s="74"/>
      <c r="AG80" s="74"/>
      <c r="AH80" s="74"/>
      <c r="AI80" s="74"/>
      <c r="AJ80" s="74"/>
      <c r="AK80" s="74"/>
      <c r="AL80" s="74"/>
      <c r="AM80" s="74"/>
      <c r="AN80" s="74"/>
      <c r="AO80" s="74"/>
      <c r="AP80" s="74"/>
      <c r="AQ80" s="74"/>
      <c r="AR80" s="74"/>
      <c r="AS80" s="75"/>
      <c r="AT80" s="73"/>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5"/>
    </row>
    <row r="81" spans="1:73" ht="15.75" customHeight="1" x14ac:dyDescent="0.15">
      <c r="A81" s="7"/>
      <c r="B81" s="97">
        <v>16</v>
      </c>
      <c r="C81" s="145" t="str">
        <f>IF('INPUT DATA'!Q26="","",'INPUT DATA'!Q26)</f>
        <v/>
      </c>
      <c r="D81" s="139"/>
      <c r="E81" s="146"/>
      <c r="F81" s="147" t="str">
        <f>IF('INPUT DATA'!R26="","",'INPUT DATA'!R26)</f>
        <v/>
      </c>
      <c r="G81" s="146"/>
      <c r="H81" s="96" t="str">
        <f>IF('INPUT DATA'!S26="","",'INPUT DATA'!S26)</f>
        <v/>
      </c>
      <c r="I81" s="83" t="str">
        <f>IFERROR(IF(OR(H81="",H81=0),"",DATEDIF(IF(ISNUMBER(H81),H81,DATEVALUE(H81)),DATE(VALUE(LEFT('INPUT DATA'!$F$18,4)),6,1),"Y")),"")</f>
        <v/>
      </c>
      <c r="J81" s="83" t="str">
        <f>IFERROR(IF(OR(H81="",H81=0),"",DATEDIF(IF(ISNUMBER(H81),H81,DATEVALUE(H81)),DATE(VALUE(LEFT('INPUT DATA'!$F$18,4)),6,1),"YM")),"")</f>
        <v/>
      </c>
      <c r="K81" s="83" t="str">
        <f>IFERROR(IF(OR(H81="",H81=0),"",DATEDIF(IF(ISNUMBER(H81),H81,DATEVALUE(H81)),DATE(VALUE(RIGHT('INPUT DATA'!$F$18,4)),5,31),"Y")),"")</f>
        <v/>
      </c>
      <c r="L81" s="83" t="str">
        <f>IFERROR(IF(OR(H81="",H81=0),"",DATEDIF(IF(ISNUMBER(H81),H81,DATEVALUE(H81)),DATE(VALUE(RIGHT('INPUT DATA'!$F$18,4)),5,31),"YM")),"")</f>
        <v/>
      </c>
      <c r="M81" s="78" t="s">
        <v>51</v>
      </c>
      <c r="N81" s="73"/>
      <c r="O81" s="74"/>
      <c r="P81" s="74"/>
      <c r="Q81" s="74"/>
      <c r="R81" s="74"/>
      <c r="S81" s="74"/>
      <c r="T81" s="74"/>
      <c r="U81" s="74"/>
      <c r="V81" s="74"/>
      <c r="W81" s="74"/>
      <c r="X81" s="74"/>
      <c r="Y81" s="75"/>
      <c r="Z81" s="73"/>
      <c r="AA81" s="74"/>
      <c r="AB81" s="74"/>
      <c r="AC81" s="74"/>
      <c r="AD81" s="74"/>
      <c r="AE81" s="74"/>
      <c r="AF81" s="74"/>
      <c r="AG81" s="74"/>
      <c r="AH81" s="74"/>
      <c r="AI81" s="74"/>
      <c r="AJ81" s="74"/>
      <c r="AK81" s="74"/>
      <c r="AL81" s="74"/>
      <c r="AM81" s="74"/>
      <c r="AN81" s="74"/>
      <c r="AO81" s="74"/>
      <c r="AP81" s="74"/>
      <c r="AQ81" s="74"/>
      <c r="AR81" s="74"/>
      <c r="AS81" s="75"/>
      <c r="AT81" s="73"/>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5"/>
    </row>
    <row r="82" spans="1:73" ht="15.75" customHeight="1" x14ac:dyDescent="0.15">
      <c r="A82" s="7"/>
      <c r="B82" s="97">
        <v>17</v>
      </c>
      <c r="C82" s="145" t="str">
        <f>IF('INPUT DATA'!Q27="","",'INPUT DATA'!Q27)</f>
        <v/>
      </c>
      <c r="D82" s="139"/>
      <c r="E82" s="146"/>
      <c r="F82" s="147" t="str">
        <f>IF('INPUT DATA'!R27="","",'INPUT DATA'!R27)</f>
        <v/>
      </c>
      <c r="G82" s="146"/>
      <c r="H82" s="96" t="str">
        <f>IF('INPUT DATA'!S27="","",'INPUT DATA'!S27)</f>
        <v/>
      </c>
      <c r="I82" s="83" t="str">
        <f>IFERROR(IF(OR(H82="",H82=0),"",DATEDIF(IF(ISNUMBER(H82),H82,DATEVALUE(H82)),DATE(VALUE(LEFT('INPUT DATA'!$F$18,4)),6,1),"Y")),"")</f>
        <v/>
      </c>
      <c r="J82" s="83" t="str">
        <f>IFERROR(IF(OR(H82="",H82=0),"",DATEDIF(IF(ISNUMBER(H82),H82,DATEVALUE(H82)),DATE(VALUE(LEFT('INPUT DATA'!$F$18,4)),6,1),"YM")),"")</f>
        <v/>
      </c>
      <c r="K82" s="83" t="str">
        <f>IFERROR(IF(OR(H82="",H82=0),"",DATEDIF(IF(ISNUMBER(H82),H82,DATEVALUE(H82)),DATE(VALUE(RIGHT('INPUT DATA'!$F$18,4)),5,31),"Y")),"")</f>
        <v/>
      </c>
      <c r="L82" s="83" t="str">
        <f>IFERROR(IF(OR(H82="",H82=0),"",DATEDIF(IF(ISNUMBER(H82),H82,DATEVALUE(H82)),DATE(VALUE(RIGHT('INPUT DATA'!$F$18,4)),5,31),"YM")),"")</f>
        <v/>
      </c>
      <c r="M82" s="78" t="s">
        <v>51</v>
      </c>
      <c r="N82" s="73"/>
      <c r="O82" s="74"/>
      <c r="P82" s="74"/>
      <c r="Q82" s="74"/>
      <c r="R82" s="74"/>
      <c r="S82" s="74"/>
      <c r="T82" s="74"/>
      <c r="U82" s="74"/>
      <c r="V82" s="74"/>
      <c r="W82" s="74"/>
      <c r="X82" s="74"/>
      <c r="Y82" s="75"/>
      <c r="Z82" s="73"/>
      <c r="AA82" s="74"/>
      <c r="AB82" s="74"/>
      <c r="AC82" s="74"/>
      <c r="AD82" s="74"/>
      <c r="AE82" s="74"/>
      <c r="AF82" s="74"/>
      <c r="AG82" s="74"/>
      <c r="AH82" s="74"/>
      <c r="AI82" s="74"/>
      <c r="AJ82" s="74"/>
      <c r="AK82" s="74"/>
      <c r="AL82" s="74"/>
      <c r="AM82" s="74"/>
      <c r="AN82" s="74"/>
      <c r="AO82" s="74"/>
      <c r="AP82" s="74"/>
      <c r="AQ82" s="74"/>
      <c r="AR82" s="74"/>
      <c r="AS82" s="75"/>
      <c r="AT82" s="73"/>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5"/>
    </row>
    <row r="83" spans="1:73" ht="15.75" customHeight="1" x14ac:dyDescent="0.15">
      <c r="A83" s="7"/>
      <c r="B83" s="97">
        <v>18</v>
      </c>
      <c r="C83" s="145" t="str">
        <f>IF('INPUT DATA'!Q28="","",'INPUT DATA'!Q28)</f>
        <v/>
      </c>
      <c r="D83" s="139"/>
      <c r="E83" s="146"/>
      <c r="F83" s="147" t="str">
        <f>IF('INPUT DATA'!R28="","",'INPUT DATA'!R28)</f>
        <v/>
      </c>
      <c r="G83" s="146"/>
      <c r="H83" s="96" t="str">
        <f>IF('INPUT DATA'!S28="","",'INPUT DATA'!S28)</f>
        <v/>
      </c>
      <c r="I83" s="83" t="str">
        <f>IFERROR(IF(OR(H83="",H83=0),"",DATEDIF(IF(ISNUMBER(H83),H83,DATEVALUE(H83)),DATE(VALUE(LEFT('INPUT DATA'!$F$18,4)),6,1),"Y")),"")</f>
        <v/>
      </c>
      <c r="J83" s="83" t="str">
        <f>IFERROR(IF(OR(H83="",H83=0),"",DATEDIF(IF(ISNUMBER(H83),H83,DATEVALUE(H83)),DATE(VALUE(LEFT('INPUT DATA'!$F$18,4)),6,1),"YM")),"")</f>
        <v/>
      </c>
      <c r="K83" s="83" t="str">
        <f>IFERROR(IF(OR(H83="",H83=0),"",DATEDIF(IF(ISNUMBER(H83),H83,DATEVALUE(H83)),DATE(VALUE(RIGHT('INPUT DATA'!$F$18,4)),5,31),"Y")),"")</f>
        <v/>
      </c>
      <c r="L83" s="83" t="str">
        <f>IFERROR(IF(OR(H83="",H83=0),"",DATEDIF(IF(ISNUMBER(H83),H83,DATEVALUE(H83)),DATE(VALUE(RIGHT('INPUT DATA'!$F$18,4)),5,31),"YM")),"")</f>
        <v/>
      </c>
      <c r="M83" s="78" t="s">
        <v>51</v>
      </c>
      <c r="N83" s="73"/>
      <c r="O83" s="74"/>
      <c r="P83" s="74"/>
      <c r="Q83" s="74"/>
      <c r="R83" s="74"/>
      <c r="S83" s="74"/>
      <c r="T83" s="74"/>
      <c r="U83" s="74"/>
      <c r="V83" s="74"/>
      <c r="W83" s="74"/>
      <c r="X83" s="74"/>
      <c r="Y83" s="75"/>
      <c r="Z83" s="73"/>
      <c r="AA83" s="74"/>
      <c r="AB83" s="74"/>
      <c r="AC83" s="74"/>
      <c r="AD83" s="74"/>
      <c r="AE83" s="74"/>
      <c r="AF83" s="74"/>
      <c r="AG83" s="74"/>
      <c r="AH83" s="74"/>
      <c r="AI83" s="74"/>
      <c r="AJ83" s="74"/>
      <c r="AK83" s="74"/>
      <c r="AL83" s="74"/>
      <c r="AM83" s="74"/>
      <c r="AN83" s="74"/>
      <c r="AO83" s="74"/>
      <c r="AP83" s="74"/>
      <c r="AQ83" s="74"/>
      <c r="AR83" s="74"/>
      <c r="AS83" s="75"/>
      <c r="AT83" s="73"/>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5"/>
    </row>
    <row r="84" spans="1:73" ht="15.75" customHeight="1" x14ac:dyDescent="0.15">
      <c r="A84" s="7"/>
      <c r="B84" s="97">
        <v>19</v>
      </c>
      <c r="C84" s="145" t="str">
        <f>IF('INPUT DATA'!Q29="","",'INPUT DATA'!Q29)</f>
        <v/>
      </c>
      <c r="D84" s="139"/>
      <c r="E84" s="146"/>
      <c r="F84" s="147" t="str">
        <f>IF('INPUT DATA'!R29="","",'INPUT DATA'!R29)</f>
        <v/>
      </c>
      <c r="G84" s="146"/>
      <c r="H84" s="96" t="str">
        <f>IF('INPUT DATA'!S29="","",'INPUT DATA'!S29)</f>
        <v/>
      </c>
      <c r="I84" s="83" t="str">
        <f>IFERROR(IF(OR(H84="",H84=0),"",DATEDIF(IF(ISNUMBER(H84),H84,DATEVALUE(H84)),DATE(VALUE(LEFT('INPUT DATA'!$F$18,4)),6,1),"Y")),"")</f>
        <v/>
      </c>
      <c r="J84" s="83" t="str">
        <f>IFERROR(IF(OR(H84="",H84=0),"",DATEDIF(IF(ISNUMBER(H84),H84,DATEVALUE(H84)),DATE(VALUE(LEFT('INPUT DATA'!$F$18,4)),6,1),"YM")),"")</f>
        <v/>
      </c>
      <c r="K84" s="83" t="str">
        <f>IFERROR(IF(OR(H84="",H84=0),"",DATEDIF(IF(ISNUMBER(H84),H84,DATEVALUE(H84)),DATE(VALUE(RIGHT('INPUT DATA'!$F$18,4)),5,31),"Y")),"")</f>
        <v/>
      </c>
      <c r="L84" s="83" t="str">
        <f>IFERROR(IF(OR(H84="",H84=0),"",DATEDIF(IF(ISNUMBER(H84),H84,DATEVALUE(H84)),DATE(VALUE(RIGHT('INPUT DATA'!$F$18,4)),5,31),"YM")),"")</f>
        <v/>
      </c>
      <c r="M84" s="78" t="s">
        <v>51</v>
      </c>
      <c r="N84" s="73"/>
      <c r="O84" s="74"/>
      <c r="P84" s="74"/>
      <c r="Q84" s="74"/>
      <c r="R84" s="74"/>
      <c r="S84" s="74"/>
      <c r="T84" s="74"/>
      <c r="U84" s="74"/>
      <c r="V84" s="74"/>
      <c r="W84" s="74"/>
      <c r="X84" s="74"/>
      <c r="Y84" s="75"/>
      <c r="Z84" s="73"/>
      <c r="AA84" s="74"/>
      <c r="AB84" s="74"/>
      <c r="AC84" s="74"/>
      <c r="AD84" s="74"/>
      <c r="AE84" s="74"/>
      <c r="AF84" s="74"/>
      <c r="AG84" s="74"/>
      <c r="AH84" s="74"/>
      <c r="AI84" s="74"/>
      <c r="AJ84" s="74"/>
      <c r="AK84" s="74"/>
      <c r="AL84" s="74"/>
      <c r="AM84" s="74"/>
      <c r="AN84" s="74"/>
      <c r="AO84" s="74"/>
      <c r="AP84" s="74"/>
      <c r="AQ84" s="74"/>
      <c r="AR84" s="74"/>
      <c r="AS84" s="75"/>
      <c r="AT84" s="73"/>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5"/>
    </row>
    <row r="85" spans="1:73" ht="15.75" customHeight="1" x14ac:dyDescent="0.15">
      <c r="A85" s="7"/>
      <c r="B85" s="97">
        <v>20</v>
      </c>
      <c r="C85" s="145" t="str">
        <f>IF('INPUT DATA'!Q30="","",'INPUT DATA'!Q30)</f>
        <v/>
      </c>
      <c r="D85" s="139"/>
      <c r="E85" s="146"/>
      <c r="F85" s="147" t="str">
        <f>IF('INPUT DATA'!R30="","",'INPUT DATA'!R30)</f>
        <v/>
      </c>
      <c r="G85" s="146"/>
      <c r="H85" s="96" t="str">
        <f>IF('INPUT DATA'!S30="","",'INPUT DATA'!S30)</f>
        <v/>
      </c>
      <c r="I85" s="83" t="str">
        <f>IFERROR(IF(OR(H85="",H85=0),"",DATEDIF(IF(ISNUMBER(H85),H85,DATEVALUE(H85)),DATE(VALUE(LEFT('INPUT DATA'!$F$18,4)),6,1),"Y")),"")</f>
        <v/>
      </c>
      <c r="J85" s="83" t="str">
        <f>IFERROR(IF(OR(H85="",H85=0),"",DATEDIF(IF(ISNUMBER(H85),H85,DATEVALUE(H85)),DATE(VALUE(LEFT('INPUT DATA'!$F$18,4)),6,1),"YM")),"")</f>
        <v/>
      </c>
      <c r="K85" s="83" t="str">
        <f>IFERROR(IF(OR(H85="",H85=0),"",DATEDIF(IF(ISNUMBER(H85),H85,DATEVALUE(H85)),DATE(VALUE(RIGHT('INPUT DATA'!$F$18,4)),5,31),"Y")),"")</f>
        <v/>
      </c>
      <c r="L85" s="83" t="str">
        <f>IFERROR(IF(OR(H85="",H85=0),"",DATEDIF(IF(ISNUMBER(H85),H85,DATEVALUE(H85)),DATE(VALUE(RIGHT('INPUT DATA'!$F$18,4)),5,31),"YM")),"")</f>
        <v/>
      </c>
      <c r="M85" s="78" t="s">
        <v>51</v>
      </c>
      <c r="N85" s="73"/>
      <c r="O85" s="74"/>
      <c r="P85" s="74"/>
      <c r="Q85" s="74"/>
      <c r="R85" s="74"/>
      <c r="S85" s="74"/>
      <c r="T85" s="74"/>
      <c r="U85" s="74"/>
      <c r="V85" s="74"/>
      <c r="W85" s="74"/>
      <c r="X85" s="74"/>
      <c r="Y85" s="75"/>
      <c r="Z85" s="73"/>
      <c r="AA85" s="74"/>
      <c r="AB85" s="74"/>
      <c r="AC85" s="74"/>
      <c r="AD85" s="74"/>
      <c r="AE85" s="74"/>
      <c r="AF85" s="74"/>
      <c r="AG85" s="74"/>
      <c r="AH85" s="74"/>
      <c r="AI85" s="74"/>
      <c r="AJ85" s="74"/>
      <c r="AK85" s="74"/>
      <c r="AL85" s="74"/>
      <c r="AM85" s="74"/>
      <c r="AN85" s="74"/>
      <c r="AO85" s="74"/>
      <c r="AP85" s="74"/>
      <c r="AQ85" s="74"/>
      <c r="AR85" s="74"/>
      <c r="AS85" s="75"/>
      <c r="AT85" s="73"/>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5"/>
    </row>
    <row r="86" spans="1:73" ht="15.75" customHeight="1" x14ac:dyDescent="0.15">
      <c r="A86" s="7"/>
      <c r="B86" s="97">
        <v>21</v>
      </c>
      <c r="C86" s="145" t="str">
        <f>IF('INPUT DATA'!Q31="","",'INPUT DATA'!Q31)</f>
        <v/>
      </c>
      <c r="D86" s="139"/>
      <c r="E86" s="146"/>
      <c r="F86" s="147" t="str">
        <f>IF('INPUT DATA'!R31="","",'INPUT DATA'!R31)</f>
        <v/>
      </c>
      <c r="G86" s="146"/>
      <c r="H86" s="96" t="str">
        <f>IF('INPUT DATA'!S31="","",'INPUT DATA'!S31)</f>
        <v/>
      </c>
      <c r="I86" s="83" t="str">
        <f>IFERROR(IF(OR(H86="",H86=0),"",DATEDIF(IF(ISNUMBER(H86),H86,DATEVALUE(H86)),DATE(VALUE(LEFT('INPUT DATA'!$F$18,4)),6,1),"Y")),"")</f>
        <v/>
      </c>
      <c r="J86" s="83" t="str">
        <f>IFERROR(IF(OR(H86="",H86=0),"",DATEDIF(IF(ISNUMBER(H86),H86,DATEVALUE(H86)),DATE(VALUE(LEFT('INPUT DATA'!$F$18,4)),6,1),"YM")),"")</f>
        <v/>
      </c>
      <c r="K86" s="83" t="str">
        <f>IFERROR(IF(OR(H86="",H86=0),"",DATEDIF(IF(ISNUMBER(H86),H86,DATEVALUE(H86)),DATE(VALUE(RIGHT('INPUT DATA'!$F$18,4)),5,31),"Y")),"")</f>
        <v/>
      </c>
      <c r="L86" s="83" t="str">
        <f>IFERROR(IF(OR(H86="",H86=0),"",DATEDIF(IF(ISNUMBER(H86),H86,DATEVALUE(H86)),DATE(VALUE(RIGHT('INPUT DATA'!$F$18,4)),5,31),"YM")),"")</f>
        <v/>
      </c>
      <c r="M86" s="78" t="s">
        <v>51</v>
      </c>
      <c r="N86" s="73"/>
      <c r="O86" s="74"/>
      <c r="P86" s="74"/>
      <c r="Q86" s="74"/>
      <c r="R86" s="74"/>
      <c r="S86" s="74"/>
      <c r="T86" s="74"/>
      <c r="U86" s="74"/>
      <c r="V86" s="74"/>
      <c r="W86" s="74"/>
      <c r="X86" s="74"/>
      <c r="Y86" s="75"/>
      <c r="Z86" s="73"/>
      <c r="AA86" s="74"/>
      <c r="AB86" s="74"/>
      <c r="AC86" s="74"/>
      <c r="AD86" s="74"/>
      <c r="AE86" s="74"/>
      <c r="AF86" s="74"/>
      <c r="AG86" s="74"/>
      <c r="AH86" s="74"/>
      <c r="AI86" s="74"/>
      <c r="AJ86" s="74"/>
      <c r="AK86" s="74"/>
      <c r="AL86" s="74"/>
      <c r="AM86" s="74"/>
      <c r="AN86" s="74"/>
      <c r="AO86" s="74"/>
      <c r="AP86" s="74"/>
      <c r="AQ86" s="74"/>
      <c r="AR86" s="74"/>
      <c r="AS86" s="75"/>
      <c r="AT86" s="73"/>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5"/>
    </row>
    <row r="87" spans="1:73" ht="15.75" customHeight="1" x14ac:dyDescent="0.15">
      <c r="A87" s="7"/>
      <c r="B87" s="97">
        <v>22</v>
      </c>
      <c r="C87" s="145" t="str">
        <f>IF('INPUT DATA'!Q32="","",'INPUT DATA'!Q32)</f>
        <v/>
      </c>
      <c r="D87" s="139"/>
      <c r="E87" s="146"/>
      <c r="F87" s="147" t="str">
        <f>IF('INPUT DATA'!R32="","",'INPUT DATA'!R32)</f>
        <v/>
      </c>
      <c r="G87" s="146"/>
      <c r="H87" s="96" t="str">
        <f>IF('INPUT DATA'!S32="","",'INPUT DATA'!S32)</f>
        <v/>
      </c>
      <c r="I87" s="83" t="str">
        <f>IFERROR(IF(OR(H87="",H87=0),"",DATEDIF(IF(ISNUMBER(H87),H87,DATEVALUE(H87)),DATE(VALUE(LEFT('INPUT DATA'!$F$18,4)),6,1),"Y")),"")</f>
        <v/>
      </c>
      <c r="J87" s="83" t="str">
        <f>IFERROR(IF(OR(H87="",H87=0),"",DATEDIF(IF(ISNUMBER(H87),H87,DATEVALUE(H87)),DATE(VALUE(LEFT('INPUT DATA'!$F$18,4)),6,1),"YM")),"")</f>
        <v/>
      </c>
      <c r="K87" s="83" t="str">
        <f>IFERROR(IF(OR(H87="",H87=0),"",DATEDIF(IF(ISNUMBER(H87),H87,DATEVALUE(H87)),DATE(VALUE(RIGHT('INPUT DATA'!$F$18,4)),5,31),"Y")),"")</f>
        <v/>
      </c>
      <c r="L87" s="83" t="str">
        <f>IFERROR(IF(OR(H87="",H87=0),"",DATEDIF(IF(ISNUMBER(H87),H87,DATEVALUE(H87)),DATE(VALUE(RIGHT('INPUT DATA'!$F$18,4)),5,31),"YM")),"")</f>
        <v/>
      </c>
      <c r="M87" s="78" t="s">
        <v>51</v>
      </c>
      <c r="N87" s="73"/>
      <c r="O87" s="74"/>
      <c r="P87" s="74"/>
      <c r="Q87" s="74"/>
      <c r="R87" s="74"/>
      <c r="S87" s="74"/>
      <c r="T87" s="74"/>
      <c r="U87" s="74"/>
      <c r="V87" s="74"/>
      <c r="W87" s="74"/>
      <c r="X87" s="74"/>
      <c r="Y87" s="75"/>
      <c r="Z87" s="73"/>
      <c r="AA87" s="74"/>
      <c r="AB87" s="74"/>
      <c r="AC87" s="74"/>
      <c r="AD87" s="74"/>
      <c r="AE87" s="74"/>
      <c r="AF87" s="74"/>
      <c r="AG87" s="74"/>
      <c r="AH87" s="74"/>
      <c r="AI87" s="74"/>
      <c r="AJ87" s="74"/>
      <c r="AK87" s="74"/>
      <c r="AL87" s="74"/>
      <c r="AM87" s="74"/>
      <c r="AN87" s="74"/>
      <c r="AO87" s="74"/>
      <c r="AP87" s="74"/>
      <c r="AQ87" s="74"/>
      <c r="AR87" s="74"/>
      <c r="AS87" s="75"/>
      <c r="AT87" s="73"/>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5"/>
    </row>
    <row r="88" spans="1:73" ht="15.75" customHeight="1" x14ac:dyDescent="0.15">
      <c r="A88" s="7"/>
      <c r="B88" s="97">
        <v>23</v>
      </c>
      <c r="C88" s="145" t="str">
        <f>IF('INPUT DATA'!Q33="","",'INPUT DATA'!Q33)</f>
        <v/>
      </c>
      <c r="D88" s="139"/>
      <c r="E88" s="146"/>
      <c r="F88" s="147" t="str">
        <f>IF('INPUT DATA'!R33="","",'INPUT DATA'!R33)</f>
        <v/>
      </c>
      <c r="G88" s="146"/>
      <c r="H88" s="96" t="str">
        <f>IF('INPUT DATA'!S33="","",'INPUT DATA'!S33)</f>
        <v/>
      </c>
      <c r="I88" s="83" t="str">
        <f>IFERROR(IF(OR(H88="",H88=0),"",DATEDIF(IF(ISNUMBER(H88),H88,DATEVALUE(H88)),DATE(VALUE(LEFT('INPUT DATA'!$F$18,4)),6,1),"Y")),"")</f>
        <v/>
      </c>
      <c r="J88" s="83" t="str">
        <f>IFERROR(IF(OR(H88="",H88=0),"",DATEDIF(IF(ISNUMBER(H88),H88,DATEVALUE(H88)),DATE(VALUE(LEFT('INPUT DATA'!$F$18,4)),6,1),"YM")),"")</f>
        <v/>
      </c>
      <c r="K88" s="83" t="str">
        <f>IFERROR(IF(OR(H88="",H88=0),"",DATEDIF(IF(ISNUMBER(H88),H88,DATEVALUE(H88)),DATE(VALUE(RIGHT('INPUT DATA'!$F$18,4)),5,31),"Y")),"")</f>
        <v/>
      </c>
      <c r="L88" s="83" t="str">
        <f>IFERROR(IF(OR(H88="",H88=0),"",DATEDIF(IF(ISNUMBER(H88),H88,DATEVALUE(H88)),DATE(VALUE(RIGHT('INPUT DATA'!$F$18,4)),5,31),"YM")),"")</f>
        <v/>
      </c>
      <c r="M88" s="78" t="s">
        <v>51</v>
      </c>
      <c r="N88" s="73"/>
      <c r="O88" s="74"/>
      <c r="P88" s="74"/>
      <c r="Q88" s="74"/>
      <c r="R88" s="74"/>
      <c r="S88" s="74"/>
      <c r="T88" s="74"/>
      <c r="U88" s="74"/>
      <c r="V88" s="74"/>
      <c r="W88" s="74"/>
      <c r="X88" s="74"/>
      <c r="Y88" s="75"/>
      <c r="Z88" s="73"/>
      <c r="AA88" s="74"/>
      <c r="AB88" s="74"/>
      <c r="AC88" s="74"/>
      <c r="AD88" s="74"/>
      <c r="AE88" s="74"/>
      <c r="AF88" s="74"/>
      <c r="AG88" s="74"/>
      <c r="AH88" s="74"/>
      <c r="AI88" s="74"/>
      <c r="AJ88" s="74"/>
      <c r="AK88" s="74"/>
      <c r="AL88" s="74"/>
      <c r="AM88" s="74"/>
      <c r="AN88" s="74"/>
      <c r="AO88" s="74"/>
      <c r="AP88" s="74"/>
      <c r="AQ88" s="74"/>
      <c r="AR88" s="74"/>
      <c r="AS88" s="75"/>
      <c r="AT88" s="73"/>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5"/>
    </row>
    <row r="89" spans="1:73" ht="15.75" customHeight="1" x14ac:dyDescent="0.15">
      <c r="A89" s="7"/>
      <c r="B89" s="97">
        <v>24</v>
      </c>
      <c r="C89" s="145" t="str">
        <f>IF('INPUT DATA'!Q34="","",'INPUT DATA'!Q34)</f>
        <v/>
      </c>
      <c r="D89" s="139"/>
      <c r="E89" s="146"/>
      <c r="F89" s="147" t="str">
        <f>IF('INPUT DATA'!R34="","",'INPUT DATA'!R34)</f>
        <v/>
      </c>
      <c r="G89" s="146"/>
      <c r="H89" s="96" t="str">
        <f>IF('INPUT DATA'!S34="","",'INPUT DATA'!S34)</f>
        <v/>
      </c>
      <c r="I89" s="83" t="str">
        <f>IFERROR(IF(OR(H89="",H89=0),"",DATEDIF(IF(ISNUMBER(H89),H89,DATEVALUE(H89)),DATE(VALUE(LEFT('INPUT DATA'!$F$18,4)),6,1),"Y")),"")</f>
        <v/>
      </c>
      <c r="J89" s="83" t="str">
        <f>IFERROR(IF(OR(H89="",H89=0),"",DATEDIF(IF(ISNUMBER(H89),H89,DATEVALUE(H89)),DATE(VALUE(LEFT('INPUT DATA'!$F$18,4)),6,1),"YM")),"")</f>
        <v/>
      </c>
      <c r="K89" s="83" t="str">
        <f>IFERROR(IF(OR(H89="",H89=0),"",DATEDIF(IF(ISNUMBER(H89),H89,DATEVALUE(H89)),DATE(VALUE(RIGHT('INPUT DATA'!$F$18,4)),5,31),"Y")),"")</f>
        <v/>
      </c>
      <c r="L89" s="83" t="str">
        <f>IFERROR(IF(OR(H89="",H89=0),"",DATEDIF(IF(ISNUMBER(H89),H89,DATEVALUE(H89)),DATE(VALUE(RIGHT('INPUT DATA'!$F$18,4)),5,31),"YM")),"")</f>
        <v/>
      </c>
      <c r="M89" s="78" t="s">
        <v>51</v>
      </c>
      <c r="N89" s="73"/>
      <c r="O89" s="74"/>
      <c r="P89" s="74"/>
      <c r="Q89" s="74"/>
      <c r="R89" s="74"/>
      <c r="S89" s="74"/>
      <c r="T89" s="74"/>
      <c r="U89" s="74"/>
      <c r="V89" s="74"/>
      <c r="W89" s="74"/>
      <c r="X89" s="74"/>
      <c r="Y89" s="75"/>
      <c r="Z89" s="73"/>
      <c r="AA89" s="74"/>
      <c r="AB89" s="74"/>
      <c r="AC89" s="74"/>
      <c r="AD89" s="74"/>
      <c r="AE89" s="74"/>
      <c r="AF89" s="74"/>
      <c r="AG89" s="74"/>
      <c r="AH89" s="74"/>
      <c r="AI89" s="74"/>
      <c r="AJ89" s="74"/>
      <c r="AK89" s="74"/>
      <c r="AL89" s="74"/>
      <c r="AM89" s="74"/>
      <c r="AN89" s="74"/>
      <c r="AO89" s="74"/>
      <c r="AP89" s="74"/>
      <c r="AQ89" s="74"/>
      <c r="AR89" s="74"/>
      <c r="AS89" s="75"/>
      <c r="AT89" s="73"/>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5"/>
    </row>
    <row r="90" spans="1:73" ht="15.75" customHeight="1" x14ac:dyDescent="0.15">
      <c r="A90" s="7"/>
      <c r="B90" s="97">
        <v>25</v>
      </c>
      <c r="C90" s="145" t="str">
        <f>IF('INPUT DATA'!Q35="","",'INPUT DATA'!Q35)</f>
        <v/>
      </c>
      <c r="D90" s="139"/>
      <c r="E90" s="146"/>
      <c r="F90" s="147" t="str">
        <f>IF('INPUT DATA'!R35="","",'INPUT DATA'!R35)</f>
        <v/>
      </c>
      <c r="G90" s="146"/>
      <c r="H90" s="96" t="str">
        <f>IF('INPUT DATA'!S35="","",'INPUT DATA'!S35)</f>
        <v/>
      </c>
      <c r="I90" s="83" t="str">
        <f>IFERROR(IF(OR(H90="",H90=0),"",DATEDIF(IF(ISNUMBER(H90),H90,DATEVALUE(H90)),DATE(VALUE(LEFT('INPUT DATA'!$F$18,4)),6,1),"Y")),"")</f>
        <v/>
      </c>
      <c r="J90" s="83" t="str">
        <f>IFERROR(IF(OR(H90="",H90=0),"",DATEDIF(IF(ISNUMBER(H90),H90,DATEVALUE(H90)),DATE(VALUE(LEFT('INPUT DATA'!$F$18,4)),6,1),"YM")),"")</f>
        <v/>
      </c>
      <c r="K90" s="83" t="str">
        <f>IFERROR(IF(OR(H90="",H90=0),"",DATEDIF(IF(ISNUMBER(H90),H90,DATEVALUE(H90)),DATE(VALUE(RIGHT('INPUT DATA'!$F$18,4)),5,31),"Y")),"")</f>
        <v/>
      </c>
      <c r="L90" s="83" t="str">
        <f>IFERROR(IF(OR(H90="",H90=0),"",DATEDIF(IF(ISNUMBER(H90),H90,DATEVALUE(H90)),DATE(VALUE(RIGHT('INPUT DATA'!$F$18,4)),5,31),"YM")),"")</f>
        <v/>
      </c>
      <c r="M90" s="78" t="s">
        <v>51</v>
      </c>
      <c r="N90" s="73"/>
      <c r="O90" s="74"/>
      <c r="P90" s="74"/>
      <c r="Q90" s="74"/>
      <c r="R90" s="74"/>
      <c r="S90" s="74"/>
      <c r="T90" s="74"/>
      <c r="U90" s="74"/>
      <c r="V90" s="74"/>
      <c r="W90" s="74"/>
      <c r="X90" s="74"/>
      <c r="Y90" s="75"/>
      <c r="Z90" s="73"/>
      <c r="AA90" s="74"/>
      <c r="AB90" s="74"/>
      <c r="AC90" s="74"/>
      <c r="AD90" s="74"/>
      <c r="AE90" s="74"/>
      <c r="AF90" s="74"/>
      <c r="AG90" s="74"/>
      <c r="AH90" s="74"/>
      <c r="AI90" s="74"/>
      <c r="AJ90" s="74"/>
      <c r="AK90" s="74"/>
      <c r="AL90" s="74"/>
      <c r="AM90" s="74"/>
      <c r="AN90" s="74"/>
      <c r="AO90" s="74"/>
      <c r="AP90" s="74"/>
      <c r="AQ90" s="74"/>
      <c r="AR90" s="74"/>
      <c r="AS90" s="75"/>
      <c r="AT90" s="73"/>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5"/>
    </row>
    <row r="91" spans="1:73" ht="15.75" customHeight="1" x14ac:dyDescent="0.15">
      <c r="A91" s="7"/>
      <c r="B91" s="97">
        <v>26</v>
      </c>
      <c r="C91" s="145" t="str">
        <f>IF('INPUT DATA'!Q36="","",'INPUT DATA'!Q36)</f>
        <v/>
      </c>
      <c r="D91" s="139"/>
      <c r="E91" s="146"/>
      <c r="F91" s="147" t="str">
        <f>IF('INPUT DATA'!R36="","",'INPUT DATA'!R36)</f>
        <v/>
      </c>
      <c r="G91" s="146"/>
      <c r="H91" s="96" t="str">
        <f>IF('INPUT DATA'!S36="","",'INPUT DATA'!S36)</f>
        <v/>
      </c>
      <c r="I91" s="83" t="str">
        <f>IFERROR(IF(OR(H91="",H91=0),"",DATEDIF(IF(ISNUMBER(H91),H91,DATEVALUE(H91)),DATE(VALUE(LEFT('INPUT DATA'!$F$18,4)),6,1),"Y")),"")</f>
        <v/>
      </c>
      <c r="J91" s="83" t="str">
        <f>IFERROR(IF(OR(H91="",H91=0),"",DATEDIF(IF(ISNUMBER(H91),H91,DATEVALUE(H91)),DATE(VALUE(LEFT('INPUT DATA'!$F$18,4)),6,1),"YM")),"")</f>
        <v/>
      </c>
      <c r="K91" s="83" t="str">
        <f>IFERROR(IF(OR(H91="",H91=0),"",DATEDIF(IF(ISNUMBER(H91),H91,DATEVALUE(H91)),DATE(VALUE(RIGHT('INPUT DATA'!$F$18,4)),5,31),"Y")),"")</f>
        <v/>
      </c>
      <c r="L91" s="83" t="str">
        <f>IFERROR(IF(OR(H91="",H91=0),"",DATEDIF(IF(ISNUMBER(H91),H91,DATEVALUE(H91)),DATE(VALUE(RIGHT('INPUT DATA'!$F$18,4)),5,31),"YM")),"")</f>
        <v/>
      </c>
      <c r="M91" s="78" t="s">
        <v>51</v>
      </c>
      <c r="N91" s="73"/>
      <c r="O91" s="74"/>
      <c r="P91" s="74"/>
      <c r="Q91" s="74"/>
      <c r="R91" s="74"/>
      <c r="S91" s="74"/>
      <c r="T91" s="74"/>
      <c r="U91" s="74"/>
      <c r="V91" s="74"/>
      <c r="W91" s="74"/>
      <c r="X91" s="74"/>
      <c r="Y91" s="75"/>
      <c r="Z91" s="73"/>
      <c r="AA91" s="74"/>
      <c r="AB91" s="74"/>
      <c r="AC91" s="74"/>
      <c r="AD91" s="74"/>
      <c r="AE91" s="74"/>
      <c r="AF91" s="74"/>
      <c r="AG91" s="74"/>
      <c r="AH91" s="74"/>
      <c r="AI91" s="74"/>
      <c r="AJ91" s="74"/>
      <c r="AK91" s="74"/>
      <c r="AL91" s="74"/>
      <c r="AM91" s="74"/>
      <c r="AN91" s="74"/>
      <c r="AO91" s="74"/>
      <c r="AP91" s="74"/>
      <c r="AQ91" s="74"/>
      <c r="AR91" s="74"/>
      <c r="AS91" s="75"/>
      <c r="AT91" s="73"/>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5"/>
    </row>
    <row r="92" spans="1:73" ht="15.75" customHeight="1" x14ac:dyDescent="0.15">
      <c r="A92" s="7"/>
      <c r="B92" s="101">
        <v>27</v>
      </c>
      <c r="C92" s="145" t="str">
        <f>IF('INPUT DATA'!Q37="","",'INPUT DATA'!Q37)</f>
        <v/>
      </c>
      <c r="D92" s="139"/>
      <c r="E92" s="146"/>
      <c r="F92" s="147" t="str">
        <f>IF('INPUT DATA'!R37="","",'INPUT DATA'!R37)</f>
        <v/>
      </c>
      <c r="G92" s="146"/>
      <c r="H92" s="96" t="str">
        <f>IF('INPUT DATA'!S37="","",'INPUT DATA'!S37)</f>
        <v/>
      </c>
      <c r="I92" s="83" t="str">
        <f>IFERROR(IF(OR(H92="",H92=0),"",DATEDIF(IF(ISNUMBER(H92),H92,DATEVALUE(H92)),DATE(VALUE(LEFT('INPUT DATA'!$F$18,4)),6,1),"Y")),"")</f>
        <v/>
      </c>
      <c r="J92" s="83" t="str">
        <f>IFERROR(IF(OR(H92="",H92=0),"",DATEDIF(IF(ISNUMBER(H92),H92,DATEVALUE(H92)),DATE(VALUE(LEFT('INPUT DATA'!$F$18,4)),6,1),"YM")),"")</f>
        <v/>
      </c>
      <c r="K92" s="83" t="str">
        <f>IFERROR(IF(OR(H92="",H92=0),"",DATEDIF(IF(ISNUMBER(H92),H92,DATEVALUE(H92)),DATE(VALUE(RIGHT('INPUT DATA'!$F$18,4)),5,31),"Y")),"")</f>
        <v/>
      </c>
      <c r="L92" s="83" t="str">
        <f>IFERROR(IF(OR(H92="",H92=0),"",DATEDIF(IF(ISNUMBER(H92),H92,DATEVALUE(H92)),DATE(VALUE(RIGHT('INPUT DATA'!$F$18,4)),5,31),"YM")),"")</f>
        <v/>
      </c>
      <c r="M92" s="78" t="s">
        <v>51</v>
      </c>
      <c r="N92" s="73"/>
      <c r="O92" s="74"/>
      <c r="P92" s="74"/>
      <c r="Q92" s="74"/>
      <c r="R92" s="74"/>
      <c r="S92" s="74"/>
      <c r="T92" s="74"/>
      <c r="U92" s="74"/>
      <c r="V92" s="74"/>
      <c r="W92" s="74"/>
      <c r="X92" s="74"/>
      <c r="Y92" s="75"/>
      <c r="Z92" s="73"/>
      <c r="AA92" s="74"/>
      <c r="AB92" s="74"/>
      <c r="AC92" s="74"/>
      <c r="AD92" s="74"/>
      <c r="AE92" s="74"/>
      <c r="AF92" s="74"/>
      <c r="AG92" s="74"/>
      <c r="AH92" s="74"/>
      <c r="AI92" s="74"/>
      <c r="AJ92" s="74"/>
      <c r="AK92" s="74"/>
      <c r="AL92" s="74"/>
      <c r="AM92" s="74"/>
      <c r="AN92" s="74"/>
      <c r="AO92" s="74"/>
      <c r="AP92" s="74"/>
      <c r="AQ92" s="74"/>
      <c r="AR92" s="74"/>
      <c r="AS92" s="75"/>
      <c r="AT92" s="73"/>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5"/>
    </row>
    <row r="93" spans="1:73" ht="15.75" customHeight="1" x14ac:dyDescent="0.15">
      <c r="A93" s="7"/>
      <c r="B93" s="97">
        <v>28</v>
      </c>
      <c r="C93" s="145" t="str">
        <f>IF('INPUT DATA'!Q38="","",'INPUT DATA'!Q38)</f>
        <v/>
      </c>
      <c r="D93" s="139"/>
      <c r="E93" s="146"/>
      <c r="F93" s="147" t="str">
        <f>IF('INPUT DATA'!R38="","",'INPUT DATA'!R38)</f>
        <v/>
      </c>
      <c r="G93" s="146"/>
      <c r="H93" s="96" t="str">
        <f>IF('INPUT DATA'!S38="","",'INPUT DATA'!S38)</f>
        <v/>
      </c>
      <c r="I93" s="83" t="str">
        <f>IFERROR(IF(OR(H93="",H93=0),"",DATEDIF(IF(ISNUMBER(H93),H93,DATEVALUE(H93)),DATE(VALUE(LEFT('INPUT DATA'!$F$18,4)),6,1),"Y")),"")</f>
        <v/>
      </c>
      <c r="J93" s="83" t="str">
        <f>IFERROR(IF(OR(H93="",H93=0),"",DATEDIF(IF(ISNUMBER(H93),H93,DATEVALUE(H93)),DATE(VALUE(LEFT('INPUT DATA'!$F$18,4)),6,1),"YM")),"")</f>
        <v/>
      </c>
      <c r="K93" s="83" t="str">
        <f>IFERROR(IF(OR(H93="",H93=0),"",DATEDIF(IF(ISNUMBER(H93),H93,DATEVALUE(H93)),DATE(VALUE(RIGHT('INPUT DATA'!$F$18,4)),5,31),"Y")),"")</f>
        <v/>
      </c>
      <c r="L93" s="83" t="str">
        <f>IFERROR(IF(OR(H93="",H93=0),"",DATEDIF(IF(ISNUMBER(H93),H93,DATEVALUE(H93)),DATE(VALUE(RIGHT('INPUT DATA'!$F$18,4)),5,31),"YM")),"")</f>
        <v/>
      </c>
      <c r="M93" s="78" t="s">
        <v>51</v>
      </c>
      <c r="N93" s="73"/>
      <c r="O93" s="74"/>
      <c r="P93" s="74"/>
      <c r="Q93" s="74"/>
      <c r="R93" s="74"/>
      <c r="S93" s="74"/>
      <c r="T93" s="74"/>
      <c r="U93" s="74"/>
      <c r="V93" s="74"/>
      <c r="W93" s="74"/>
      <c r="X93" s="74"/>
      <c r="Y93" s="75"/>
      <c r="Z93" s="73"/>
      <c r="AA93" s="74"/>
      <c r="AB93" s="74"/>
      <c r="AC93" s="74"/>
      <c r="AD93" s="74"/>
      <c r="AE93" s="74"/>
      <c r="AF93" s="74"/>
      <c r="AG93" s="74"/>
      <c r="AH93" s="74"/>
      <c r="AI93" s="74"/>
      <c r="AJ93" s="74"/>
      <c r="AK93" s="74"/>
      <c r="AL93" s="74"/>
      <c r="AM93" s="74"/>
      <c r="AN93" s="74"/>
      <c r="AO93" s="74"/>
      <c r="AP93" s="74"/>
      <c r="AQ93" s="74"/>
      <c r="AR93" s="74"/>
      <c r="AS93" s="75"/>
      <c r="AT93" s="73"/>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5"/>
    </row>
    <row r="94" spans="1:73" ht="15.75" customHeight="1" x14ac:dyDescent="0.15">
      <c r="A94" s="7"/>
      <c r="B94" s="97">
        <v>29</v>
      </c>
      <c r="C94" s="145" t="str">
        <f>IF('INPUT DATA'!Q39="","",'INPUT DATA'!Q39)</f>
        <v/>
      </c>
      <c r="D94" s="139"/>
      <c r="E94" s="146"/>
      <c r="F94" s="147" t="str">
        <f>IF('INPUT DATA'!R39="","",'INPUT DATA'!R39)</f>
        <v/>
      </c>
      <c r="G94" s="146"/>
      <c r="H94" s="96" t="str">
        <f>IF('INPUT DATA'!S39="","",'INPUT DATA'!S39)</f>
        <v/>
      </c>
      <c r="I94" s="83" t="str">
        <f>IFERROR(IF(OR(H94="",H94=0),"",DATEDIF(IF(ISNUMBER(H94),H94,DATEVALUE(H94)),DATE(VALUE(LEFT('INPUT DATA'!$F$18,4)),6,1),"Y")),"")</f>
        <v/>
      </c>
      <c r="J94" s="83" t="str">
        <f>IFERROR(IF(OR(H94="",H94=0),"",DATEDIF(IF(ISNUMBER(H94),H94,DATEVALUE(H94)),DATE(VALUE(LEFT('INPUT DATA'!$F$18,4)),6,1),"YM")),"")</f>
        <v/>
      </c>
      <c r="K94" s="83" t="str">
        <f>IFERROR(IF(OR(H94="",H94=0),"",DATEDIF(IF(ISNUMBER(H94),H94,DATEVALUE(H94)),DATE(VALUE(RIGHT('INPUT DATA'!$F$18,4)),5,31),"Y")),"")</f>
        <v/>
      </c>
      <c r="L94" s="83" t="str">
        <f>IFERROR(IF(OR(H94="",H94=0),"",DATEDIF(IF(ISNUMBER(H94),H94,DATEVALUE(H94)),DATE(VALUE(RIGHT('INPUT DATA'!$F$18,4)),5,31),"YM")),"")</f>
        <v/>
      </c>
      <c r="M94" s="78" t="s">
        <v>51</v>
      </c>
      <c r="N94" s="73"/>
      <c r="O94" s="74"/>
      <c r="P94" s="74"/>
      <c r="Q94" s="74"/>
      <c r="R94" s="74"/>
      <c r="S94" s="74"/>
      <c r="T94" s="74"/>
      <c r="U94" s="74"/>
      <c r="V94" s="74"/>
      <c r="W94" s="74"/>
      <c r="X94" s="74"/>
      <c r="Y94" s="75"/>
      <c r="Z94" s="73"/>
      <c r="AA94" s="74"/>
      <c r="AB94" s="74"/>
      <c r="AC94" s="74"/>
      <c r="AD94" s="74"/>
      <c r="AE94" s="74"/>
      <c r="AF94" s="74"/>
      <c r="AG94" s="74"/>
      <c r="AH94" s="74"/>
      <c r="AI94" s="74"/>
      <c r="AJ94" s="74"/>
      <c r="AK94" s="74"/>
      <c r="AL94" s="74"/>
      <c r="AM94" s="74"/>
      <c r="AN94" s="74"/>
      <c r="AO94" s="74"/>
      <c r="AP94" s="74"/>
      <c r="AQ94" s="74"/>
      <c r="AR94" s="74"/>
      <c r="AS94" s="75"/>
      <c r="AT94" s="73"/>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5"/>
    </row>
    <row r="95" spans="1:73" ht="15.75" customHeight="1" x14ac:dyDescent="0.15">
      <c r="A95" s="7"/>
      <c r="B95" s="97">
        <v>31</v>
      </c>
      <c r="C95" s="145" t="str">
        <f>IF('INPUT DATA'!Q40="","",'INPUT DATA'!Q40)</f>
        <v/>
      </c>
      <c r="D95" s="139"/>
      <c r="E95" s="146"/>
      <c r="F95" s="147" t="str">
        <f>IF('INPUT DATA'!R40="","",'INPUT DATA'!R40)</f>
        <v/>
      </c>
      <c r="G95" s="146"/>
      <c r="H95" s="96" t="str">
        <f>IF('INPUT DATA'!S40="","",'INPUT DATA'!S40)</f>
        <v/>
      </c>
      <c r="I95" s="83" t="str">
        <f>IFERROR(IF(OR(H95="",H95=0),"",DATEDIF(IF(ISNUMBER(H95),H95,DATEVALUE(H95)),DATE(VALUE(LEFT('INPUT DATA'!$F$18,4)),6,1),"Y")),"")</f>
        <v/>
      </c>
      <c r="J95" s="83" t="str">
        <f>IFERROR(IF(OR(H95="",H95=0),"",DATEDIF(IF(ISNUMBER(H95),H95,DATEVALUE(H95)),DATE(VALUE(LEFT('INPUT DATA'!$F$18,4)),6,1),"YM")),"")</f>
        <v/>
      </c>
      <c r="K95" s="83" t="str">
        <f>IFERROR(IF(OR(H95="",H95=0),"",DATEDIF(IF(ISNUMBER(H95),H95,DATEVALUE(H95)),DATE(VALUE(RIGHT('INPUT DATA'!$F$18,4)),5,31),"Y")),"")</f>
        <v/>
      </c>
      <c r="L95" s="83" t="str">
        <f>IFERROR(IF(OR(H95="",H95=0),"",DATEDIF(IF(ISNUMBER(H95),H95,DATEVALUE(H95)),DATE(VALUE(RIGHT('INPUT DATA'!$F$18,4)),5,31),"YM")),"")</f>
        <v/>
      </c>
      <c r="M95" s="78" t="s">
        <v>51</v>
      </c>
      <c r="N95" s="73"/>
      <c r="O95" s="74"/>
      <c r="P95" s="74"/>
      <c r="Q95" s="74"/>
      <c r="R95" s="74"/>
      <c r="S95" s="74"/>
      <c r="T95" s="74"/>
      <c r="U95" s="74"/>
      <c r="V95" s="74"/>
      <c r="W95" s="74"/>
      <c r="X95" s="74"/>
      <c r="Y95" s="75"/>
      <c r="Z95" s="73"/>
      <c r="AA95" s="74"/>
      <c r="AB95" s="74"/>
      <c r="AC95" s="74"/>
      <c r="AD95" s="74"/>
      <c r="AE95" s="74"/>
      <c r="AF95" s="74"/>
      <c r="AG95" s="74"/>
      <c r="AH95" s="74"/>
      <c r="AI95" s="74"/>
      <c r="AJ95" s="74"/>
      <c r="AK95" s="74"/>
      <c r="AL95" s="74"/>
      <c r="AM95" s="74"/>
      <c r="AN95" s="74"/>
      <c r="AO95" s="74"/>
      <c r="AP95" s="74"/>
      <c r="AQ95" s="74"/>
      <c r="AR95" s="74"/>
      <c r="AS95" s="75"/>
      <c r="AT95" s="73"/>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5"/>
    </row>
    <row r="96" spans="1:73" ht="15.75" customHeight="1" x14ac:dyDescent="0.15">
      <c r="A96" s="7"/>
      <c r="B96" s="97">
        <v>32</v>
      </c>
      <c r="C96" s="145" t="str">
        <f>IF('INPUT DATA'!Q41="","",'INPUT DATA'!Q41)</f>
        <v/>
      </c>
      <c r="D96" s="139"/>
      <c r="E96" s="146"/>
      <c r="F96" s="147" t="str">
        <f>IF('INPUT DATA'!R41="","",'INPUT DATA'!R41)</f>
        <v/>
      </c>
      <c r="G96" s="146"/>
      <c r="H96" s="96" t="str">
        <f>IF('INPUT DATA'!S41="","",'INPUT DATA'!S41)</f>
        <v/>
      </c>
      <c r="I96" s="83" t="str">
        <f>IFERROR(IF(OR(H96="",H96=0),"",DATEDIF(IF(ISNUMBER(H96),H96,DATEVALUE(H96)),DATE(VALUE(LEFT('INPUT DATA'!$F$18,4)),6,1),"Y")),"")</f>
        <v/>
      </c>
      <c r="J96" s="83" t="str">
        <f>IFERROR(IF(OR(H96="",H96=0),"",DATEDIF(IF(ISNUMBER(H96),H96,DATEVALUE(H96)),DATE(VALUE(LEFT('INPUT DATA'!$F$18,4)),6,1),"YM")),"")</f>
        <v/>
      </c>
      <c r="K96" s="83" t="str">
        <f>IFERROR(IF(OR(H96="",H96=0),"",DATEDIF(IF(ISNUMBER(H96),H96,DATEVALUE(H96)),DATE(VALUE(RIGHT('INPUT DATA'!$F$18,4)),5,31),"Y")),"")</f>
        <v/>
      </c>
      <c r="L96" s="83" t="str">
        <f>IFERROR(IF(OR(H96="",H96=0),"",DATEDIF(IF(ISNUMBER(H96),H96,DATEVALUE(H96)),DATE(VALUE(RIGHT('INPUT DATA'!$F$18,4)),5,31),"YM")),"")</f>
        <v/>
      </c>
      <c r="M96" s="78" t="s">
        <v>51</v>
      </c>
      <c r="N96" s="73"/>
      <c r="O96" s="74"/>
      <c r="P96" s="74"/>
      <c r="Q96" s="74"/>
      <c r="R96" s="74"/>
      <c r="S96" s="74"/>
      <c r="T96" s="74"/>
      <c r="U96" s="74"/>
      <c r="V96" s="74"/>
      <c r="W96" s="74"/>
      <c r="X96" s="74"/>
      <c r="Y96" s="75"/>
      <c r="Z96" s="73"/>
      <c r="AA96" s="74"/>
      <c r="AB96" s="74"/>
      <c r="AC96" s="74"/>
      <c r="AD96" s="74"/>
      <c r="AE96" s="74"/>
      <c r="AF96" s="74"/>
      <c r="AG96" s="74"/>
      <c r="AH96" s="74"/>
      <c r="AI96" s="74"/>
      <c r="AJ96" s="74"/>
      <c r="AK96" s="74"/>
      <c r="AL96" s="74"/>
      <c r="AM96" s="74"/>
      <c r="AN96" s="74"/>
      <c r="AO96" s="74"/>
      <c r="AP96" s="74"/>
      <c r="AQ96" s="74"/>
      <c r="AR96" s="74"/>
      <c r="AS96" s="75"/>
      <c r="AT96" s="73"/>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5"/>
    </row>
    <row r="97" spans="1:73" ht="15.75" customHeight="1" x14ac:dyDescent="0.15">
      <c r="A97" s="7"/>
      <c r="B97" s="97">
        <v>33</v>
      </c>
      <c r="C97" s="145" t="str">
        <f>IF('INPUT DATA'!Q42="","",'INPUT DATA'!Q42)</f>
        <v/>
      </c>
      <c r="D97" s="139"/>
      <c r="E97" s="146"/>
      <c r="F97" s="147" t="str">
        <f>IF('INPUT DATA'!R42="","",'INPUT DATA'!R42)</f>
        <v/>
      </c>
      <c r="G97" s="146"/>
      <c r="H97" s="96" t="str">
        <f>IF('INPUT DATA'!S42="","",'INPUT DATA'!S42)</f>
        <v/>
      </c>
      <c r="I97" s="83" t="str">
        <f>IFERROR(IF(OR(H97="",H97=0),"",DATEDIF(IF(ISNUMBER(H97),H97,DATEVALUE(H97)),DATE(VALUE(LEFT('INPUT DATA'!$F$18,4)),6,1),"Y")),"")</f>
        <v/>
      </c>
      <c r="J97" s="83" t="str">
        <f>IFERROR(IF(OR(H97="",H97=0),"",DATEDIF(IF(ISNUMBER(H97),H97,DATEVALUE(H97)),DATE(VALUE(LEFT('INPUT DATA'!$F$18,4)),6,1),"YM")),"")</f>
        <v/>
      </c>
      <c r="K97" s="83" t="str">
        <f>IFERROR(IF(OR(H97="",H97=0),"",DATEDIF(IF(ISNUMBER(H97),H97,DATEVALUE(H97)),DATE(VALUE(RIGHT('INPUT DATA'!$F$18,4)),5,31),"Y")),"")</f>
        <v/>
      </c>
      <c r="L97" s="83" t="str">
        <f>IFERROR(IF(OR(H97="",H97=0),"",DATEDIF(IF(ISNUMBER(H97),H97,DATEVALUE(H97)),DATE(VALUE(RIGHT('INPUT DATA'!$F$18,4)),5,31),"YM")),"")</f>
        <v/>
      </c>
      <c r="M97" s="78" t="s">
        <v>51</v>
      </c>
      <c r="N97" s="73"/>
      <c r="O97" s="74"/>
      <c r="P97" s="74"/>
      <c r="Q97" s="74"/>
      <c r="R97" s="74"/>
      <c r="S97" s="74"/>
      <c r="T97" s="74"/>
      <c r="U97" s="74"/>
      <c r="V97" s="74"/>
      <c r="W97" s="74"/>
      <c r="X97" s="74"/>
      <c r="Y97" s="75"/>
      <c r="Z97" s="73"/>
      <c r="AA97" s="74"/>
      <c r="AB97" s="74"/>
      <c r="AC97" s="74"/>
      <c r="AD97" s="74"/>
      <c r="AE97" s="74"/>
      <c r="AF97" s="74"/>
      <c r="AG97" s="74"/>
      <c r="AH97" s="74"/>
      <c r="AI97" s="74"/>
      <c r="AJ97" s="74"/>
      <c r="AK97" s="74"/>
      <c r="AL97" s="74"/>
      <c r="AM97" s="74"/>
      <c r="AN97" s="74"/>
      <c r="AO97" s="74"/>
      <c r="AP97" s="74"/>
      <c r="AQ97" s="74"/>
      <c r="AR97" s="74"/>
      <c r="AS97" s="75"/>
      <c r="AT97" s="73"/>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5"/>
    </row>
    <row r="98" spans="1:73" ht="15.75" customHeight="1" x14ac:dyDescent="0.15">
      <c r="A98" s="7"/>
      <c r="B98" s="97">
        <v>34</v>
      </c>
      <c r="C98" s="145" t="str">
        <f>IF('INPUT DATA'!Q43="","",'INPUT DATA'!Q43)</f>
        <v/>
      </c>
      <c r="D98" s="139"/>
      <c r="E98" s="146"/>
      <c r="F98" s="147" t="str">
        <f>IF('INPUT DATA'!R43="","",'INPUT DATA'!R43)</f>
        <v/>
      </c>
      <c r="G98" s="146"/>
      <c r="H98" s="96" t="str">
        <f>IF('INPUT DATA'!S43="","",'INPUT DATA'!S43)</f>
        <v/>
      </c>
      <c r="I98" s="83" t="str">
        <f>IFERROR(IF(OR(H98="",H98=0),"",DATEDIF(IF(ISNUMBER(H98),H98,DATEVALUE(H98)),DATE(VALUE(LEFT('INPUT DATA'!$F$18,4)),6,1),"Y")),"")</f>
        <v/>
      </c>
      <c r="J98" s="83" t="str">
        <f>IFERROR(IF(OR(H98="",H98=0),"",DATEDIF(IF(ISNUMBER(H98),H98,DATEVALUE(H98)),DATE(VALUE(LEFT('INPUT DATA'!$F$18,4)),6,1),"YM")),"")</f>
        <v/>
      </c>
      <c r="K98" s="83" t="str">
        <f>IFERROR(IF(OR(H98="",H98=0),"",DATEDIF(IF(ISNUMBER(H98),H98,DATEVALUE(H98)),DATE(VALUE(RIGHT('INPUT DATA'!$F$18,4)),5,31),"Y")),"")</f>
        <v/>
      </c>
      <c r="L98" s="83" t="str">
        <f>IFERROR(IF(OR(H98="",H98=0),"",DATEDIF(IF(ISNUMBER(H98),H98,DATEVALUE(H98)),DATE(VALUE(RIGHT('INPUT DATA'!$F$18,4)),5,31),"YM")),"")</f>
        <v/>
      </c>
      <c r="M98" s="78" t="s">
        <v>51</v>
      </c>
      <c r="N98" s="73"/>
      <c r="O98" s="74"/>
      <c r="P98" s="74"/>
      <c r="Q98" s="74"/>
      <c r="R98" s="74"/>
      <c r="S98" s="74"/>
      <c r="T98" s="74"/>
      <c r="U98" s="74"/>
      <c r="V98" s="74"/>
      <c r="W98" s="74"/>
      <c r="X98" s="74"/>
      <c r="Y98" s="75"/>
      <c r="Z98" s="73"/>
      <c r="AA98" s="74"/>
      <c r="AB98" s="74"/>
      <c r="AC98" s="74"/>
      <c r="AD98" s="74"/>
      <c r="AE98" s="74"/>
      <c r="AF98" s="74"/>
      <c r="AG98" s="74"/>
      <c r="AH98" s="74"/>
      <c r="AI98" s="74"/>
      <c r="AJ98" s="74"/>
      <c r="AK98" s="74"/>
      <c r="AL98" s="74"/>
      <c r="AM98" s="74"/>
      <c r="AN98" s="74"/>
      <c r="AO98" s="74"/>
      <c r="AP98" s="74"/>
      <c r="AQ98" s="74"/>
      <c r="AR98" s="74"/>
      <c r="AS98" s="75"/>
      <c r="AT98" s="73"/>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5"/>
    </row>
    <row r="99" spans="1:73" ht="15.75" customHeight="1" x14ac:dyDescent="0.15">
      <c r="A99" s="7"/>
      <c r="B99" s="97">
        <v>35</v>
      </c>
      <c r="C99" s="145" t="str">
        <f>IF('INPUT DATA'!Q44="","",'INPUT DATA'!Q44)</f>
        <v/>
      </c>
      <c r="D99" s="139"/>
      <c r="E99" s="146"/>
      <c r="F99" s="147" t="str">
        <f>IF('INPUT DATA'!R44="","",'INPUT DATA'!R44)</f>
        <v/>
      </c>
      <c r="G99" s="146"/>
      <c r="H99" s="96" t="str">
        <f>IF('INPUT DATA'!S44="","",'INPUT DATA'!S44)</f>
        <v/>
      </c>
      <c r="I99" s="83" t="str">
        <f>IFERROR(IF(OR(H99="",H99=0),"",DATEDIF(IF(ISNUMBER(H99),H99,DATEVALUE(H99)),DATE(VALUE(LEFT('INPUT DATA'!$F$18,4)),6,1),"Y")),"")</f>
        <v/>
      </c>
      <c r="J99" s="83" t="str">
        <f>IFERROR(IF(OR(H99="",H99=0),"",DATEDIF(IF(ISNUMBER(H99),H99,DATEVALUE(H99)),DATE(VALUE(LEFT('INPUT DATA'!$F$18,4)),6,1),"YM")),"")</f>
        <v/>
      </c>
      <c r="K99" s="83" t="str">
        <f>IFERROR(IF(OR(H99="",H99=0),"",DATEDIF(IF(ISNUMBER(H99),H99,DATEVALUE(H99)),DATE(VALUE(RIGHT('INPUT DATA'!$F$18,4)),5,31),"Y")),"")</f>
        <v/>
      </c>
      <c r="L99" s="83" t="str">
        <f>IFERROR(IF(OR(H99="",H99=0),"",DATEDIF(IF(ISNUMBER(H99),H99,DATEVALUE(H99)),DATE(VALUE(RIGHT('INPUT DATA'!$F$18,4)),5,31),"YM")),"")</f>
        <v/>
      </c>
      <c r="M99" s="78" t="s">
        <v>51</v>
      </c>
      <c r="N99" s="73"/>
      <c r="O99" s="74"/>
      <c r="P99" s="74"/>
      <c r="Q99" s="74"/>
      <c r="R99" s="74"/>
      <c r="S99" s="74"/>
      <c r="T99" s="74"/>
      <c r="U99" s="74"/>
      <c r="V99" s="74"/>
      <c r="W99" s="74"/>
      <c r="X99" s="74"/>
      <c r="Y99" s="75"/>
      <c r="Z99" s="73"/>
      <c r="AA99" s="74"/>
      <c r="AB99" s="74"/>
      <c r="AC99" s="74"/>
      <c r="AD99" s="74"/>
      <c r="AE99" s="74"/>
      <c r="AF99" s="74"/>
      <c r="AG99" s="74"/>
      <c r="AH99" s="74"/>
      <c r="AI99" s="74"/>
      <c r="AJ99" s="74"/>
      <c r="AK99" s="74"/>
      <c r="AL99" s="74"/>
      <c r="AM99" s="74"/>
      <c r="AN99" s="74"/>
      <c r="AO99" s="74"/>
      <c r="AP99" s="74"/>
      <c r="AQ99" s="74"/>
      <c r="AR99" s="74"/>
      <c r="AS99" s="75"/>
      <c r="AT99" s="73"/>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5"/>
    </row>
    <row r="100" spans="1:73" ht="15.75" customHeight="1" x14ac:dyDescent="0.15">
      <c r="A100" s="7"/>
      <c r="B100" s="97">
        <v>36</v>
      </c>
      <c r="C100" s="145" t="str">
        <f>IF('INPUT DATA'!Q45="","",'INPUT DATA'!Q45)</f>
        <v/>
      </c>
      <c r="D100" s="139"/>
      <c r="E100" s="146"/>
      <c r="F100" s="147" t="str">
        <f>IF('INPUT DATA'!R45="","",'INPUT DATA'!R45)</f>
        <v/>
      </c>
      <c r="G100" s="146"/>
      <c r="H100" s="96" t="str">
        <f>IF('INPUT DATA'!S45="","",'INPUT DATA'!S45)</f>
        <v/>
      </c>
      <c r="I100" s="83" t="str">
        <f>IFERROR(IF(OR(H100="",H100=0),"",DATEDIF(IF(ISNUMBER(H100),H100,DATEVALUE(H100)),DATE(VALUE(LEFT('INPUT DATA'!$F$18,4)),6,1),"Y")),"")</f>
        <v/>
      </c>
      <c r="J100" s="83" t="str">
        <f>IFERROR(IF(OR(H100="",H100=0),"",DATEDIF(IF(ISNUMBER(H100),H100,DATEVALUE(H100)),DATE(VALUE(LEFT('INPUT DATA'!$F$18,4)),6,1),"YM")),"")</f>
        <v/>
      </c>
      <c r="K100" s="83" t="str">
        <f>IFERROR(IF(OR(H100="",H100=0),"",DATEDIF(IF(ISNUMBER(H100),H100,DATEVALUE(H100)),DATE(VALUE(RIGHT('INPUT DATA'!$F$18,4)),5,31),"Y")),"")</f>
        <v/>
      </c>
      <c r="L100" s="83" t="str">
        <f>IFERROR(IF(OR(H100="",H100=0),"",DATEDIF(IF(ISNUMBER(H100),H100,DATEVALUE(H100)),DATE(VALUE(RIGHT('INPUT DATA'!$F$18,4)),5,31),"YM")),"")</f>
        <v/>
      </c>
      <c r="M100" s="78" t="s">
        <v>51</v>
      </c>
      <c r="N100" s="73"/>
      <c r="O100" s="74"/>
      <c r="P100" s="74"/>
      <c r="Q100" s="74"/>
      <c r="R100" s="74"/>
      <c r="S100" s="74"/>
      <c r="T100" s="74"/>
      <c r="U100" s="74"/>
      <c r="V100" s="74"/>
      <c r="W100" s="74"/>
      <c r="X100" s="74"/>
      <c r="Y100" s="75"/>
      <c r="Z100" s="73"/>
      <c r="AA100" s="74"/>
      <c r="AB100" s="74"/>
      <c r="AC100" s="74"/>
      <c r="AD100" s="74"/>
      <c r="AE100" s="74"/>
      <c r="AF100" s="74"/>
      <c r="AG100" s="74"/>
      <c r="AH100" s="74"/>
      <c r="AI100" s="74"/>
      <c r="AJ100" s="74"/>
      <c r="AK100" s="74"/>
      <c r="AL100" s="74"/>
      <c r="AM100" s="74"/>
      <c r="AN100" s="74"/>
      <c r="AO100" s="74"/>
      <c r="AP100" s="74"/>
      <c r="AQ100" s="74"/>
      <c r="AR100" s="74"/>
      <c r="AS100" s="75"/>
      <c r="AT100" s="73"/>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5"/>
    </row>
    <row r="101" spans="1:73" ht="15.75" customHeight="1" x14ac:dyDescent="0.15">
      <c r="A101" s="7"/>
      <c r="B101" s="97">
        <v>37</v>
      </c>
      <c r="C101" s="145" t="str">
        <f>IF('INPUT DATA'!Q46="","",'INPUT DATA'!Q46)</f>
        <v/>
      </c>
      <c r="D101" s="139"/>
      <c r="E101" s="146"/>
      <c r="F101" s="147" t="str">
        <f>IF('INPUT DATA'!R46="","",'INPUT DATA'!R46)</f>
        <v/>
      </c>
      <c r="G101" s="146"/>
      <c r="H101" s="96" t="str">
        <f>IF('INPUT DATA'!S46="","",'INPUT DATA'!S46)</f>
        <v/>
      </c>
      <c r="I101" s="83" t="str">
        <f>IFERROR(IF(OR(H101="",H101=0),"",DATEDIF(IF(ISNUMBER(H101),H101,DATEVALUE(H101)),DATE(VALUE(LEFT('INPUT DATA'!$F$18,4)),6,1),"Y")),"")</f>
        <v/>
      </c>
      <c r="J101" s="83" t="str">
        <f>IFERROR(IF(OR(H101="",H101=0),"",DATEDIF(IF(ISNUMBER(H101),H101,DATEVALUE(H101)),DATE(VALUE(LEFT('INPUT DATA'!$F$18,4)),6,1),"YM")),"")</f>
        <v/>
      </c>
      <c r="K101" s="83" t="str">
        <f>IFERROR(IF(OR(H101="",H101=0),"",DATEDIF(IF(ISNUMBER(H101),H101,DATEVALUE(H101)),DATE(VALUE(RIGHT('INPUT DATA'!$F$18,4)),5,31),"Y")),"")</f>
        <v/>
      </c>
      <c r="L101" s="83" t="str">
        <f>IFERROR(IF(OR(H101="",H101=0),"",DATEDIF(IF(ISNUMBER(H101),H101,DATEVALUE(H101)),DATE(VALUE(RIGHT('INPUT DATA'!$F$18,4)),5,31),"YM")),"")</f>
        <v/>
      </c>
      <c r="M101" s="78" t="s">
        <v>51</v>
      </c>
      <c r="N101" s="73"/>
      <c r="O101" s="74"/>
      <c r="P101" s="74"/>
      <c r="Q101" s="74"/>
      <c r="R101" s="74"/>
      <c r="S101" s="74"/>
      <c r="T101" s="74"/>
      <c r="U101" s="74"/>
      <c r="V101" s="74"/>
      <c r="W101" s="74"/>
      <c r="X101" s="74"/>
      <c r="Y101" s="75"/>
      <c r="Z101" s="73"/>
      <c r="AA101" s="74"/>
      <c r="AB101" s="74"/>
      <c r="AC101" s="74"/>
      <c r="AD101" s="74"/>
      <c r="AE101" s="74"/>
      <c r="AF101" s="74"/>
      <c r="AG101" s="74"/>
      <c r="AH101" s="74"/>
      <c r="AI101" s="74"/>
      <c r="AJ101" s="74"/>
      <c r="AK101" s="74"/>
      <c r="AL101" s="74"/>
      <c r="AM101" s="74"/>
      <c r="AN101" s="74"/>
      <c r="AO101" s="74"/>
      <c r="AP101" s="74"/>
      <c r="AQ101" s="74"/>
      <c r="AR101" s="74"/>
      <c r="AS101" s="75"/>
      <c r="AT101" s="73"/>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5"/>
    </row>
    <row r="102" spans="1:73" ht="15.75" customHeight="1" x14ac:dyDescent="0.15">
      <c r="A102" s="7"/>
      <c r="B102" s="97">
        <v>38</v>
      </c>
      <c r="C102" s="145" t="str">
        <f>IF('INPUT DATA'!Q47="","",'INPUT DATA'!Q47)</f>
        <v/>
      </c>
      <c r="D102" s="139"/>
      <c r="E102" s="146"/>
      <c r="F102" s="147" t="str">
        <f>IF('INPUT DATA'!R47="","",'INPUT DATA'!R47)</f>
        <v/>
      </c>
      <c r="G102" s="146"/>
      <c r="H102" s="96" t="str">
        <f>IF('INPUT DATA'!S47="","",'INPUT DATA'!S47)</f>
        <v/>
      </c>
      <c r="I102" s="83" t="str">
        <f>IFERROR(IF(OR(H102="",H102=0),"",DATEDIF(IF(ISNUMBER(H102),H102,DATEVALUE(H102)),DATE(VALUE(LEFT('INPUT DATA'!$F$18,4)),6,1),"Y")),"")</f>
        <v/>
      </c>
      <c r="J102" s="83" t="str">
        <f>IFERROR(IF(OR(H102="",H102=0),"",DATEDIF(IF(ISNUMBER(H102),H102,DATEVALUE(H102)),DATE(VALUE(LEFT('INPUT DATA'!$F$18,4)),6,1),"YM")),"")</f>
        <v/>
      </c>
      <c r="K102" s="83" t="str">
        <f>IFERROR(IF(OR(H102="",H102=0),"",DATEDIF(IF(ISNUMBER(H102),H102,DATEVALUE(H102)),DATE(VALUE(RIGHT('INPUT DATA'!$F$18,4)),5,31),"Y")),"")</f>
        <v/>
      </c>
      <c r="L102" s="83" t="str">
        <f>IFERROR(IF(OR(H102="",H102=0),"",DATEDIF(IF(ISNUMBER(H102),H102,DATEVALUE(H102)),DATE(VALUE(RIGHT('INPUT DATA'!$F$18,4)),5,31),"YM")),"")</f>
        <v/>
      </c>
      <c r="M102" s="78" t="s">
        <v>51</v>
      </c>
      <c r="N102" s="73"/>
      <c r="O102" s="74"/>
      <c r="P102" s="74"/>
      <c r="Q102" s="74"/>
      <c r="R102" s="74"/>
      <c r="S102" s="74"/>
      <c r="T102" s="74"/>
      <c r="U102" s="74"/>
      <c r="V102" s="74"/>
      <c r="W102" s="74"/>
      <c r="X102" s="74"/>
      <c r="Y102" s="75"/>
      <c r="Z102" s="73"/>
      <c r="AA102" s="74"/>
      <c r="AB102" s="74"/>
      <c r="AC102" s="74"/>
      <c r="AD102" s="74"/>
      <c r="AE102" s="74"/>
      <c r="AF102" s="74"/>
      <c r="AG102" s="74"/>
      <c r="AH102" s="74"/>
      <c r="AI102" s="74"/>
      <c r="AJ102" s="74"/>
      <c r="AK102" s="74"/>
      <c r="AL102" s="74"/>
      <c r="AM102" s="74"/>
      <c r="AN102" s="74"/>
      <c r="AO102" s="74"/>
      <c r="AP102" s="74"/>
      <c r="AQ102" s="74"/>
      <c r="AR102" s="74"/>
      <c r="AS102" s="75"/>
      <c r="AT102" s="73"/>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5"/>
    </row>
    <row r="103" spans="1:73" ht="15.75" customHeight="1" x14ac:dyDescent="0.15">
      <c r="A103" s="7"/>
      <c r="B103" s="97">
        <v>39</v>
      </c>
      <c r="C103" s="145" t="str">
        <f>IF('INPUT DATA'!Q48="","",'INPUT DATA'!Q48)</f>
        <v/>
      </c>
      <c r="D103" s="139"/>
      <c r="E103" s="146"/>
      <c r="F103" s="147" t="str">
        <f>IF('INPUT DATA'!R48="","",'INPUT DATA'!R48)</f>
        <v/>
      </c>
      <c r="G103" s="146"/>
      <c r="H103" s="96" t="str">
        <f>IF('INPUT DATA'!S48="","",'INPUT DATA'!S48)</f>
        <v/>
      </c>
      <c r="I103" s="83" t="str">
        <f>IFERROR(IF(OR(H103="",H103=0),"",DATEDIF(IF(ISNUMBER(H103),H103,DATEVALUE(H103)),DATE(VALUE(LEFT('INPUT DATA'!$F$18,4)),6,1),"Y")),"")</f>
        <v/>
      </c>
      <c r="J103" s="83" t="str">
        <f>IFERROR(IF(OR(H103="",H103=0),"",DATEDIF(IF(ISNUMBER(H103),H103,DATEVALUE(H103)),DATE(VALUE(LEFT('INPUT DATA'!$F$18,4)),6,1),"YM")),"")</f>
        <v/>
      </c>
      <c r="K103" s="83" t="str">
        <f>IFERROR(IF(OR(H103="",H103=0),"",DATEDIF(IF(ISNUMBER(H103),H103,DATEVALUE(H103)),DATE(VALUE(RIGHT('INPUT DATA'!$F$18,4)),5,31),"Y")),"")</f>
        <v/>
      </c>
      <c r="L103" s="83" t="str">
        <f>IFERROR(IF(OR(H103="",H103=0),"",DATEDIF(IF(ISNUMBER(H103),H103,DATEVALUE(H103)),DATE(VALUE(RIGHT('INPUT DATA'!$F$18,4)),5,31),"YM")),"")</f>
        <v/>
      </c>
      <c r="M103" s="78" t="s">
        <v>51</v>
      </c>
      <c r="N103" s="73"/>
      <c r="O103" s="74"/>
      <c r="P103" s="74"/>
      <c r="Q103" s="74"/>
      <c r="R103" s="74"/>
      <c r="S103" s="74"/>
      <c r="T103" s="74"/>
      <c r="U103" s="74"/>
      <c r="V103" s="74"/>
      <c r="W103" s="74"/>
      <c r="X103" s="74"/>
      <c r="Y103" s="75"/>
      <c r="Z103" s="73"/>
      <c r="AA103" s="74"/>
      <c r="AB103" s="74"/>
      <c r="AC103" s="74"/>
      <c r="AD103" s="74"/>
      <c r="AE103" s="74"/>
      <c r="AF103" s="74"/>
      <c r="AG103" s="74"/>
      <c r="AH103" s="74"/>
      <c r="AI103" s="74"/>
      <c r="AJ103" s="74"/>
      <c r="AK103" s="74"/>
      <c r="AL103" s="74"/>
      <c r="AM103" s="74"/>
      <c r="AN103" s="74"/>
      <c r="AO103" s="74"/>
      <c r="AP103" s="74"/>
      <c r="AQ103" s="74"/>
      <c r="AR103" s="74"/>
      <c r="AS103" s="75"/>
      <c r="AT103" s="73"/>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5"/>
    </row>
    <row r="104" spans="1:73" ht="15.75" customHeight="1" x14ac:dyDescent="0.15">
      <c r="A104" s="7"/>
      <c r="B104" s="97">
        <v>40</v>
      </c>
      <c r="C104" s="145" t="str">
        <f>IF('INPUT DATA'!Q49="","",'INPUT DATA'!Q49)</f>
        <v/>
      </c>
      <c r="D104" s="139"/>
      <c r="E104" s="146"/>
      <c r="F104" s="147" t="str">
        <f>IF('INPUT DATA'!R49="","",'INPUT DATA'!R49)</f>
        <v/>
      </c>
      <c r="G104" s="146"/>
      <c r="H104" s="96" t="str">
        <f>IF('INPUT DATA'!S49="","",'INPUT DATA'!S49)</f>
        <v/>
      </c>
      <c r="I104" s="83" t="str">
        <f>IFERROR(IF(OR(H104="",H104=0),"",DATEDIF(IF(ISNUMBER(H104),H104,DATEVALUE(H104)),DATE(VALUE(LEFT('INPUT DATA'!$F$18,4)),6,1),"Y")),"")</f>
        <v/>
      </c>
      <c r="J104" s="83" t="str">
        <f>IFERROR(IF(OR(H104="",H104=0),"",DATEDIF(IF(ISNUMBER(H104),H104,DATEVALUE(H104)),DATE(VALUE(LEFT('INPUT DATA'!$F$18,4)),6,1),"YM")),"")</f>
        <v/>
      </c>
      <c r="K104" s="83" t="str">
        <f>IFERROR(IF(OR(H104="",H104=0),"",DATEDIF(IF(ISNUMBER(H104),H104,DATEVALUE(H104)),DATE(VALUE(RIGHT('INPUT DATA'!$F$18,4)),5,31),"Y")),"")</f>
        <v/>
      </c>
      <c r="L104" s="83" t="str">
        <f>IFERROR(IF(OR(H104="",H104=0),"",DATEDIF(IF(ISNUMBER(H104),H104,DATEVALUE(H104)),DATE(VALUE(RIGHT('INPUT DATA'!$F$18,4)),5,31),"YM")),"")</f>
        <v/>
      </c>
      <c r="M104" s="78" t="s">
        <v>51</v>
      </c>
      <c r="N104" s="73"/>
      <c r="O104" s="74"/>
      <c r="P104" s="74"/>
      <c r="Q104" s="74"/>
      <c r="R104" s="74"/>
      <c r="S104" s="74"/>
      <c r="T104" s="74"/>
      <c r="U104" s="74"/>
      <c r="V104" s="74"/>
      <c r="W104" s="74"/>
      <c r="X104" s="74"/>
      <c r="Y104" s="75"/>
      <c r="Z104" s="73"/>
      <c r="AA104" s="74"/>
      <c r="AB104" s="74"/>
      <c r="AC104" s="74"/>
      <c r="AD104" s="74"/>
      <c r="AE104" s="74"/>
      <c r="AF104" s="74"/>
      <c r="AG104" s="74"/>
      <c r="AH104" s="74"/>
      <c r="AI104" s="74"/>
      <c r="AJ104" s="74"/>
      <c r="AK104" s="74"/>
      <c r="AL104" s="74"/>
      <c r="AM104" s="74"/>
      <c r="AN104" s="74"/>
      <c r="AO104" s="74"/>
      <c r="AP104" s="74"/>
      <c r="AQ104" s="74"/>
      <c r="AR104" s="74"/>
      <c r="AS104" s="75"/>
      <c r="AT104" s="73"/>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5"/>
    </row>
    <row r="105" spans="1:73" ht="15.75" customHeight="1" x14ac:dyDescent="0.15">
      <c r="A105" s="7"/>
      <c r="B105" s="97">
        <v>41</v>
      </c>
      <c r="C105" s="145" t="str">
        <f>IF('INPUT DATA'!Q50="","",'INPUT DATA'!Q50)</f>
        <v/>
      </c>
      <c r="D105" s="139"/>
      <c r="E105" s="146"/>
      <c r="F105" s="147" t="str">
        <f>IF('INPUT DATA'!R50="","",'INPUT DATA'!R50)</f>
        <v/>
      </c>
      <c r="G105" s="146"/>
      <c r="H105" s="96" t="str">
        <f>IF('INPUT DATA'!S50="","",'INPUT DATA'!S50)</f>
        <v/>
      </c>
      <c r="I105" s="83" t="str">
        <f>IFERROR(IF(OR(H105="",H105=0),"",DATEDIF(IF(ISNUMBER(H105),H105,DATEVALUE(H105)),DATE(VALUE(LEFT('INPUT DATA'!$F$18,4)),6,1),"Y")),"")</f>
        <v/>
      </c>
      <c r="J105" s="83" t="str">
        <f>IFERROR(IF(OR(H105="",H105=0),"",DATEDIF(IF(ISNUMBER(H105),H105,DATEVALUE(H105)),DATE(VALUE(LEFT('INPUT DATA'!$F$18,4)),6,1),"YM")),"")</f>
        <v/>
      </c>
      <c r="K105" s="83" t="str">
        <f>IFERROR(IF(OR(H105="",H105=0),"",DATEDIF(IF(ISNUMBER(H105),H105,DATEVALUE(H105)),DATE(VALUE(RIGHT('INPUT DATA'!$F$18,4)),5,31),"Y")),"")</f>
        <v/>
      </c>
      <c r="L105" s="83" t="str">
        <f>IFERROR(IF(OR(H105="",H105=0),"",DATEDIF(IF(ISNUMBER(H105),H105,DATEVALUE(H105)),DATE(VALUE(RIGHT('INPUT DATA'!$F$18,4)),5,31),"YM")),"")</f>
        <v/>
      </c>
      <c r="M105" s="78" t="s">
        <v>51</v>
      </c>
      <c r="N105" s="73"/>
      <c r="O105" s="74"/>
      <c r="P105" s="74"/>
      <c r="Q105" s="74"/>
      <c r="R105" s="74"/>
      <c r="S105" s="74"/>
      <c r="T105" s="74"/>
      <c r="U105" s="74"/>
      <c r="V105" s="74"/>
      <c r="W105" s="74"/>
      <c r="X105" s="74"/>
      <c r="Y105" s="75"/>
      <c r="Z105" s="73"/>
      <c r="AA105" s="74"/>
      <c r="AB105" s="74"/>
      <c r="AC105" s="74"/>
      <c r="AD105" s="74"/>
      <c r="AE105" s="74"/>
      <c r="AF105" s="74"/>
      <c r="AG105" s="74"/>
      <c r="AH105" s="74"/>
      <c r="AI105" s="74"/>
      <c r="AJ105" s="74"/>
      <c r="AK105" s="74"/>
      <c r="AL105" s="74"/>
      <c r="AM105" s="74"/>
      <c r="AN105" s="74"/>
      <c r="AO105" s="74"/>
      <c r="AP105" s="74"/>
      <c r="AQ105" s="74"/>
      <c r="AR105" s="74"/>
      <c r="AS105" s="75"/>
      <c r="AT105" s="73"/>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5"/>
    </row>
    <row r="106" spans="1:73" ht="15.75" customHeight="1" x14ac:dyDescent="0.15">
      <c r="A106" s="7"/>
      <c r="B106" s="97">
        <v>42</v>
      </c>
      <c r="C106" s="145" t="str">
        <f>IF('INPUT DATA'!Q51="","",'INPUT DATA'!Q51)</f>
        <v/>
      </c>
      <c r="D106" s="139"/>
      <c r="E106" s="146"/>
      <c r="F106" s="147" t="str">
        <f>IF('INPUT DATA'!R51="","",'INPUT DATA'!R51)</f>
        <v/>
      </c>
      <c r="G106" s="146"/>
      <c r="H106" s="96" t="str">
        <f>IF('INPUT DATA'!S51="","",'INPUT DATA'!S51)</f>
        <v/>
      </c>
      <c r="I106" s="83" t="str">
        <f>IFERROR(IF(OR(H106="",H106=0),"",DATEDIF(IF(ISNUMBER(H106),H106,DATEVALUE(H106)),DATE(VALUE(LEFT('INPUT DATA'!$F$18,4)),6,1),"Y")),"")</f>
        <v/>
      </c>
      <c r="J106" s="83" t="str">
        <f>IFERROR(IF(OR(H106="",H106=0),"",DATEDIF(IF(ISNUMBER(H106),H106,DATEVALUE(H106)),DATE(VALUE(LEFT('INPUT DATA'!$F$18,4)),6,1),"YM")),"")</f>
        <v/>
      </c>
      <c r="K106" s="83" t="str">
        <f>IFERROR(IF(OR(H106="",H106=0),"",DATEDIF(IF(ISNUMBER(H106),H106,DATEVALUE(H106)),DATE(VALUE(RIGHT('INPUT DATA'!$F$18,4)),5,31),"Y")),"")</f>
        <v/>
      </c>
      <c r="L106" s="83" t="str">
        <f>IFERROR(IF(OR(H106="",H106=0),"",DATEDIF(IF(ISNUMBER(H106),H106,DATEVALUE(H106)),DATE(VALUE(RIGHT('INPUT DATA'!$F$18,4)),5,31),"YM")),"")</f>
        <v/>
      </c>
      <c r="M106" s="78" t="s">
        <v>51</v>
      </c>
      <c r="N106" s="73"/>
      <c r="O106" s="74"/>
      <c r="P106" s="74"/>
      <c r="Q106" s="74"/>
      <c r="R106" s="74"/>
      <c r="S106" s="74"/>
      <c r="T106" s="74"/>
      <c r="U106" s="74"/>
      <c r="V106" s="74"/>
      <c r="W106" s="74"/>
      <c r="X106" s="74"/>
      <c r="Y106" s="75"/>
      <c r="Z106" s="73"/>
      <c r="AA106" s="74"/>
      <c r="AB106" s="74"/>
      <c r="AC106" s="74"/>
      <c r="AD106" s="74"/>
      <c r="AE106" s="74"/>
      <c r="AF106" s="74"/>
      <c r="AG106" s="74"/>
      <c r="AH106" s="74"/>
      <c r="AI106" s="74"/>
      <c r="AJ106" s="74"/>
      <c r="AK106" s="74"/>
      <c r="AL106" s="74"/>
      <c r="AM106" s="74"/>
      <c r="AN106" s="74"/>
      <c r="AO106" s="74"/>
      <c r="AP106" s="74"/>
      <c r="AQ106" s="74"/>
      <c r="AR106" s="74"/>
      <c r="AS106" s="75"/>
      <c r="AT106" s="73"/>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5"/>
    </row>
    <row r="107" spans="1:73" ht="15.75" customHeight="1" x14ac:dyDescent="0.15">
      <c r="A107" s="7"/>
      <c r="B107" s="97">
        <v>43</v>
      </c>
      <c r="C107" s="145" t="str">
        <f>IF('INPUT DATA'!Q52="","",'INPUT DATA'!Q52)</f>
        <v/>
      </c>
      <c r="D107" s="139"/>
      <c r="E107" s="146"/>
      <c r="F107" s="147" t="str">
        <f>IF('INPUT DATA'!R52="","",'INPUT DATA'!R52)</f>
        <v/>
      </c>
      <c r="G107" s="146"/>
      <c r="H107" s="96" t="str">
        <f>IF('INPUT DATA'!S52="","",'INPUT DATA'!S52)</f>
        <v/>
      </c>
      <c r="I107" s="83" t="str">
        <f>IFERROR(IF(OR(H107="",H107=0),"",DATEDIF(IF(ISNUMBER(H107),H107,DATEVALUE(H107)),DATE(VALUE(LEFT('INPUT DATA'!$F$18,4)),6,1),"Y")),"")</f>
        <v/>
      </c>
      <c r="J107" s="83" t="str">
        <f>IFERROR(IF(OR(H107="",H107=0),"",DATEDIF(IF(ISNUMBER(H107),H107,DATEVALUE(H107)),DATE(VALUE(LEFT('INPUT DATA'!$F$18,4)),6,1),"YM")),"")</f>
        <v/>
      </c>
      <c r="K107" s="83" t="str">
        <f>IFERROR(IF(OR(H107="",H107=0),"",DATEDIF(IF(ISNUMBER(H107),H107,DATEVALUE(H107)),DATE(VALUE(RIGHT('INPUT DATA'!$F$18,4)),5,31),"Y")),"")</f>
        <v/>
      </c>
      <c r="L107" s="83" t="str">
        <f>IFERROR(IF(OR(H107="",H107=0),"",DATEDIF(IF(ISNUMBER(H107),H107,DATEVALUE(H107)),DATE(VALUE(RIGHT('INPUT DATA'!$F$18,4)),5,31),"YM")),"")</f>
        <v/>
      </c>
      <c r="M107" s="78" t="s">
        <v>51</v>
      </c>
      <c r="N107" s="73"/>
      <c r="O107" s="74"/>
      <c r="P107" s="74"/>
      <c r="Q107" s="74"/>
      <c r="R107" s="74"/>
      <c r="S107" s="74"/>
      <c r="T107" s="74"/>
      <c r="U107" s="74"/>
      <c r="V107" s="74"/>
      <c r="W107" s="74"/>
      <c r="X107" s="74"/>
      <c r="Y107" s="75"/>
      <c r="Z107" s="73"/>
      <c r="AA107" s="74"/>
      <c r="AB107" s="74"/>
      <c r="AC107" s="74"/>
      <c r="AD107" s="74"/>
      <c r="AE107" s="74"/>
      <c r="AF107" s="74"/>
      <c r="AG107" s="74"/>
      <c r="AH107" s="74"/>
      <c r="AI107" s="74"/>
      <c r="AJ107" s="74"/>
      <c r="AK107" s="74"/>
      <c r="AL107" s="74"/>
      <c r="AM107" s="74"/>
      <c r="AN107" s="74"/>
      <c r="AO107" s="74"/>
      <c r="AP107" s="74"/>
      <c r="AQ107" s="74"/>
      <c r="AR107" s="74"/>
      <c r="AS107" s="75"/>
      <c r="AT107" s="73"/>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5"/>
    </row>
    <row r="108" spans="1:73" ht="15.75" customHeight="1" x14ac:dyDescent="0.15">
      <c r="A108" s="7"/>
      <c r="B108" s="97">
        <v>44</v>
      </c>
      <c r="C108" s="145" t="str">
        <f>IF('INPUT DATA'!Q53="","",'INPUT DATA'!Q53)</f>
        <v/>
      </c>
      <c r="D108" s="139"/>
      <c r="E108" s="146"/>
      <c r="F108" s="147" t="str">
        <f>IF('INPUT DATA'!R53="","",'INPUT DATA'!R53)</f>
        <v/>
      </c>
      <c r="G108" s="146"/>
      <c r="H108" s="96" t="str">
        <f>IF('INPUT DATA'!S53="","",'INPUT DATA'!S53)</f>
        <v/>
      </c>
      <c r="I108" s="83" t="str">
        <f>IFERROR(IF(OR(H108="",H108=0),"",DATEDIF(IF(ISNUMBER(H108),H108,DATEVALUE(H108)),DATE(VALUE(LEFT('INPUT DATA'!$F$18,4)),6,1),"Y")),"")</f>
        <v/>
      </c>
      <c r="J108" s="83" t="str">
        <f>IFERROR(IF(OR(H108="",H108=0),"",DATEDIF(IF(ISNUMBER(H108),H108,DATEVALUE(H108)),DATE(VALUE(LEFT('INPUT DATA'!$F$18,4)),6,1),"YM")),"")</f>
        <v/>
      </c>
      <c r="K108" s="83" t="str">
        <f>IFERROR(IF(OR(H108="",H108=0),"",DATEDIF(IF(ISNUMBER(H108),H108,DATEVALUE(H108)),DATE(VALUE(RIGHT('INPUT DATA'!$F$18,4)),5,31),"Y")),"")</f>
        <v/>
      </c>
      <c r="L108" s="83" t="str">
        <f>IFERROR(IF(OR(H108="",H108=0),"",DATEDIF(IF(ISNUMBER(H108),H108,DATEVALUE(H108)),DATE(VALUE(RIGHT('INPUT DATA'!$F$18,4)),5,31),"YM")),"")</f>
        <v/>
      </c>
      <c r="M108" s="78" t="s">
        <v>51</v>
      </c>
      <c r="N108" s="73"/>
      <c r="O108" s="74"/>
      <c r="P108" s="74"/>
      <c r="Q108" s="74"/>
      <c r="R108" s="74"/>
      <c r="S108" s="74"/>
      <c r="T108" s="74"/>
      <c r="U108" s="74"/>
      <c r="V108" s="74"/>
      <c r="W108" s="74"/>
      <c r="X108" s="74"/>
      <c r="Y108" s="75"/>
      <c r="Z108" s="73"/>
      <c r="AA108" s="74"/>
      <c r="AB108" s="74"/>
      <c r="AC108" s="74"/>
      <c r="AD108" s="74"/>
      <c r="AE108" s="74"/>
      <c r="AF108" s="74"/>
      <c r="AG108" s="74"/>
      <c r="AH108" s="74"/>
      <c r="AI108" s="74"/>
      <c r="AJ108" s="74"/>
      <c r="AK108" s="74"/>
      <c r="AL108" s="74"/>
      <c r="AM108" s="74"/>
      <c r="AN108" s="74"/>
      <c r="AO108" s="74"/>
      <c r="AP108" s="74"/>
      <c r="AQ108" s="74"/>
      <c r="AR108" s="74"/>
      <c r="AS108" s="75"/>
      <c r="AT108" s="73"/>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5"/>
    </row>
    <row r="109" spans="1:73" ht="15.75" customHeight="1" x14ac:dyDescent="0.15">
      <c r="A109" s="7"/>
      <c r="B109" s="97">
        <v>45</v>
      </c>
      <c r="C109" s="145" t="str">
        <f>IF('INPUT DATA'!Q54="","",'INPUT DATA'!Q54)</f>
        <v/>
      </c>
      <c r="D109" s="139"/>
      <c r="E109" s="146"/>
      <c r="F109" s="147" t="str">
        <f>IF('INPUT DATA'!R54="","",'INPUT DATA'!R54)</f>
        <v/>
      </c>
      <c r="G109" s="146"/>
      <c r="H109" s="96" t="str">
        <f>IF('INPUT DATA'!S54="","",'INPUT DATA'!S54)</f>
        <v/>
      </c>
      <c r="I109" s="83" t="str">
        <f>IFERROR(IF(OR(H109="",H109=0),"",DATEDIF(IF(ISNUMBER(H109),H109,DATEVALUE(H109)),DATE(VALUE(LEFT('INPUT DATA'!$F$18,4)),6,1),"Y")),"")</f>
        <v/>
      </c>
      <c r="J109" s="83" t="str">
        <f>IFERROR(IF(OR(H109="",H109=0),"",DATEDIF(IF(ISNUMBER(H109),H109,DATEVALUE(H109)),DATE(VALUE(LEFT('INPUT DATA'!$F$18,4)),6,1),"YM")),"")</f>
        <v/>
      </c>
      <c r="K109" s="83" t="str">
        <f>IFERROR(IF(OR(H109="",H109=0),"",DATEDIF(IF(ISNUMBER(H109),H109,DATEVALUE(H109)),DATE(VALUE(RIGHT('INPUT DATA'!$F$18,4)),5,31),"Y")),"")</f>
        <v/>
      </c>
      <c r="L109" s="83" t="str">
        <f>IFERROR(IF(OR(H109="",H109=0),"",DATEDIF(IF(ISNUMBER(H109),H109,DATEVALUE(H109)),DATE(VALUE(RIGHT('INPUT DATA'!$F$18,4)),5,31),"YM")),"")</f>
        <v/>
      </c>
      <c r="M109" s="78" t="s">
        <v>51</v>
      </c>
      <c r="N109" s="73"/>
      <c r="O109" s="74"/>
      <c r="P109" s="74"/>
      <c r="Q109" s="74"/>
      <c r="R109" s="74"/>
      <c r="S109" s="74"/>
      <c r="T109" s="74"/>
      <c r="U109" s="74"/>
      <c r="V109" s="74"/>
      <c r="W109" s="74"/>
      <c r="X109" s="74"/>
      <c r="Y109" s="75"/>
      <c r="Z109" s="73"/>
      <c r="AA109" s="74"/>
      <c r="AB109" s="74"/>
      <c r="AC109" s="74"/>
      <c r="AD109" s="74"/>
      <c r="AE109" s="74"/>
      <c r="AF109" s="74"/>
      <c r="AG109" s="74"/>
      <c r="AH109" s="74"/>
      <c r="AI109" s="74"/>
      <c r="AJ109" s="74"/>
      <c r="AK109" s="74"/>
      <c r="AL109" s="74"/>
      <c r="AM109" s="74"/>
      <c r="AN109" s="74"/>
      <c r="AO109" s="74"/>
      <c r="AP109" s="74"/>
      <c r="AQ109" s="74"/>
      <c r="AR109" s="74"/>
      <c r="AS109" s="75"/>
      <c r="AT109" s="73"/>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5"/>
    </row>
    <row r="110" spans="1:73" ht="15.75" customHeight="1" x14ac:dyDescent="0.15">
      <c r="A110" s="7"/>
      <c r="B110" s="97">
        <v>46</v>
      </c>
      <c r="C110" s="145" t="str">
        <f>IF('INPUT DATA'!Q55="","",'INPUT DATA'!Q55)</f>
        <v/>
      </c>
      <c r="D110" s="139"/>
      <c r="E110" s="146"/>
      <c r="F110" s="147" t="str">
        <f>IF('INPUT DATA'!R55="","",'INPUT DATA'!R55)</f>
        <v/>
      </c>
      <c r="G110" s="146"/>
      <c r="H110" s="96" t="str">
        <f>IF('INPUT DATA'!S55="","",'INPUT DATA'!S55)</f>
        <v/>
      </c>
      <c r="I110" s="83" t="str">
        <f>IFERROR(IF(OR(H110="",H110=0),"",DATEDIF(IF(ISNUMBER(H110),H110,DATEVALUE(H110)),DATE(VALUE(LEFT('INPUT DATA'!$F$18,4)),6,1),"Y")),"")</f>
        <v/>
      </c>
      <c r="J110" s="83" t="str">
        <f>IFERROR(IF(OR(H110="",H110=0),"",DATEDIF(IF(ISNUMBER(H110),H110,DATEVALUE(H110)),DATE(VALUE(LEFT('INPUT DATA'!$F$18,4)),6,1),"YM")),"")</f>
        <v/>
      </c>
      <c r="K110" s="83" t="str">
        <f>IFERROR(IF(OR(H110="",H110=0),"",DATEDIF(IF(ISNUMBER(H110),H110,DATEVALUE(H110)),DATE(VALUE(RIGHT('INPUT DATA'!$F$18,4)),5,31),"Y")),"")</f>
        <v/>
      </c>
      <c r="L110" s="83" t="str">
        <f>IFERROR(IF(OR(H110="",H110=0),"",DATEDIF(IF(ISNUMBER(H110),H110,DATEVALUE(H110)),DATE(VALUE(RIGHT('INPUT DATA'!$F$18,4)),5,31),"YM")),"")</f>
        <v/>
      </c>
      <c r="M110" s="78" t="s">
        <v>51</v>
      </c>
      <c r="N110" s="73"/>
      <c r="O110" s="74"/>
      <c r="P110" s="74"/>
      <c r="Q110" s="74"/>
      <c r="R110" s="74"/>
      <c r="S110" s="74"/>
      <c r="T110" s="74"/>
      <c r="U110" s="74"/>
      <c r="V110" s="74"/>
      <c r="W110" s="74"/>
      <c r="X110" s="74"/>
      <c r="Y110" s="75"/>
      <c r="Z110" s="73"/>
      <c r="AA110" s="74"/>
      <c r="AB110" s="74"/>
      <c r="AC110" s="74"/>
      <c r="AD110" s="74"/>
      <c r="AE110" s="74"/>
      <c r="AF110" s="74"/>
      <c r="AG110" s="74"/>
      <c r="AH110" s="74"/>
      <c r="AI110" s="74"/>
      <c r="AJ110" s="74"/>
      <c r="AK110" s="74"/>
      <c r="AL110" s="74"/>
      <c r="AM110" s="74"/>
      <c r="AN110" s="74"/>
      <c r="AO110" s="74"/>
      <c r="AP110" s="74"/>
      <c r="AQ110" s="74"/>
      <c r="AR110" s="74"/>
      <c r="AS110" s="75"/>
      <c r="AT110" s="73"/>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5"/>
    </row>
    <row r="111" spans="1:73" ht="15.75" customHeight="1" x14ac:dyDescent="0.15">
      <c r="A111" s="7"/>
      <c r="B111" s="97">
        <v>47</v>
      </c>
      <c r="C111" s="145" t="str">
        <f>IF('INPUT DATA'!Q56="","",'INPUT DATA'!Q56)</f>
        <v/>
      </c>
      <c r="D111" s="139"/>
      <c r="E111" s="146"/>
      <c r="F111" s="147" t="str">
        <f>IF('INPUT DATA'!R56="","",'INPUT DATA'!R56)</f>
        <v/>
      </c>
      <c r="G111" s="146"/>
      <c r="H111" s="96" t="str">
        <f>IF('INPUT DATA'!S56="","",'INPUT DATA'!S56)</f>
        <v/>
      </c>
      <c r="I111" s="83" t="str">
        <f>IFERROR(IF(OR(H111="",H111=0),"",DATEDIF(IF(ISNUMBER(H111),H111,DATEVALUE(H111)),DATE(VALUE(LEFT('INPUT DATA'!$F$18,4)),6,1),"Y")),"")</f>
        <v/>
      </c>
      <c r="J111" s="83" t="str">
        <f>IFERROR(IF(OR(H111="",H111=0),"",DATEDIF(IF(ISNUMBER(H111),H111,DATEVALUE(H111)),DATE(VALUE(LEFT('INPUT DATA'!$F$18,4)),6,1),"YM")),"")</f>
        <v/>
      </c>
      <c r="K111" s="83" t="str">
        <f>IFERROR(IF(OR(H111="",H111=0),"",DATEDIF(IF(ISNUMBER(H111),H111,DATEVALUE(H111)),DATE(VALUE(RIGHT('INPUT DATA'!$F$18,4)),5,31),"Y")),"")</f>
        <v/>
      </c>
      <c r="L111" s="83" t="str">
        <f>IFERROR(IF(OR(H111="",H111=0),"",DATEDIF(IF(ISNUMBER(H111),H111,DATEVALUE(H111)),DATE(VALUE(RIGHT('INPUT DATA'!$F$18,4)),5,31),"YM")),"")</f>
        <v/>
      </c>
      <c r="M111" s="78" t="s">
        <v>51</v>
      </c>
      <c r="N111" s="73"/>
      <c r="O111" s="74"/>
      <c r="P111" s="74"/>
      <c r="Q111" s="74"/>
      <c r="R111" s="74"/>
      <c r="S111" s="74"/>
      <c r="T111" s="74"/>
      <c r="U111" s="74"/>
      <c r="V111" s="74"/>
      <c r="W111" s="74"/>
      <c r="X111" s="74"/>
      <c r="Y111" s="75"/>
      <c r="Z111" s="73"/>
      <c r="AA111" s="74"/>
      <c r="AB111" s="74"/>
      <c r="AC111" s="74"/>
      <c r="AD111" s="74"/>
      <c r="AE111" s="74"/>
      <c r="AF111" s="74"/>
      <c r="AG111" s="74"/>
      <c r="AH111" s="74"/>
      <c r="AI111" s="74"/>
      <c r="AJ111" s="74"/>
      <c r="AK111" s="74"/>
      <c r="AL111" s="74"/>
      <c r="AM111" s="74"/>
      <c r="AN111" s="74"/>
      <c r="AO111" s="74"/>
      <c r="AP111" s="74"/>
      <c r="AQ111" s="74"/>
      <c r="AR111" s="74"/>
      <c r="AS111" s="75"/>
      <c r="AT111" s="73"/>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5"/>
    </row>
    <row r="112" spans="1:73" ht="15.75" customHeight="1" x14ac:dyDescent="0.15">
      <c r="A112" s="7"/>
      <c r="B112" s="97">
        <v>48</v>
      </c>
      <c r="C112" s="145" t="str">
        <f>IF('INPUT DATA'!Q57="","",'INPUT DATA'!Q57)</f>
        <v/>
      </c>
      <c r="D112" s="139"/>
      <c r="E112" s="146"/>
      <c r="F112" s="147" t="str">
        <f>IF('INPUT DATA'!R57="","",'INPUT DATA'!R57)</f>
        <v/>
      </c>
      <c r="G112" s="146"/>
      <c r="H112" s="96" t="str">
        <f>IF('INPUT DATA'!S57="","",'INPUT DATA'!S57)</f>
        <v/>
      </c>
      <c r="I112" s="83" t="str">
        <f>IFERROR(IF(OR(H112="",H112=0),"",DATEDIF(IF(ISNUMBER(H112),H112,DATEVALUE(H112)),DATE(VALUE(LEFT('INPUT DATA'!$F$18,4)),6,1),"Y")),"")</f>
        <v/>
      </c>
      <c r="J112" s="83" t="str">
        <f>IFERROR(IF(OR(H112="",H112=0),"",DATEDIF(IF(ISNUMBER(H112),H112,DATEVALUE(H112)),DATE(VALUE(LEFT('INPUT DATA'!$F$18,4)),6,1),"YM")),"")</f>
        <v/>
      </c>
      <c r="K112" s="83" t="str">
        <f>IFERROR(IF(OR(H112="",H112=0),"",DATEDIF(IF(ISNUMBER(H112),H112,DATEVALUE(H112)),DATE(VALUE(RIGHT('INPUT DATA'!$F$18,4)),5,31),"Y")),"")</f>
        <v/>
      </c>
      <c r="L112" s="83" t="str">
        <f>IFERROR(IF(OR(H112="",H112=0),"",DATEDIF(IF(ISNUMBER(H112),H112,DATEVALUE(H112)),DATE(VALUE(RIGHT('INPUT DATA'!$F$18,4)),5,31),"YM")),"")</f>
        <v/>
      </c>
      <c r="M112" s="78" t="s">
        <v>51</v>
      </c>
      <c r="N112" s="73"/>
      <c r="O112" s="74"/>
      <c r="P112" s="74"/>
      <c r="Q112" s="74"/>
      <c r="R112" s="74"/>
      <c r="S112" s="74"/>
      <c r="T112" s="74"/>
      <c r="U112" s="74"/>
      <c r="V112" s="74"/>
      <c r="W112" s="74"/>
      <c r="X112" s="74"/>
      <c r="Y112" s="75"/>
      <c r="Z112" s="73"/>
      <c r="AA112" s="74"/>
      <c r="AB112" s="74"/>
      <c r="AC112" s="74"/>
      <c r="AD112" s="74"/>
      <c r="AE112" s="74"/>
      <c r="AF112" s="74"/>
      <c r="AG112" s="74"/>
      <c r="AH112" s="74"/>
      <c r="AI112" s="74"/>
      <c r="AJ112" s="74"/>
      <c r="AK112" s="74"/>
      <c r="AL112" s="74"/>
      <c r="AM112" s="74"/>
      <c r="AN112" s="74"/>
      <c r="AO112" s="74"/>
      <c r="AP112" s="74"/>
      <c r="AQ112" s="74"/>
      <c r="AR112" s="74"/>
      <c r="AS112" s="75"/>
      <c r="AT112" s="73"/>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5"/>
    </row>
    <row r="113" spans="1:73" ht="15.75" customHeight="1" x14ac:dyDescent="0.15">
      <c r="A113" s="7"/>
      <c r="B113" s="97">
        <v>49</v>
      </c>
      <c r="C113" s="145" t="str">
        <f>IF('INPUT DATA'!Q58="","",'INPUT DATA'!Q58)</f>
        <v/>
      </c>
      <c r="D113" s="139"/>
      <c r="E113" s="146"/>
      <c r="F113" s="147" t="str">
        <f>IF('INPUT DATA'!R58="","",'INPUT DATA'!R58)</f>
        <v/>
      </c>
      <c r="G113" s="146"/>
      <c r="H113" s="96" t="str">
        <f>IF('INPUT DATA'!S58="","",'INPUT DATA'!S58)</f>
        <v/>
      </c>
      <c r="I113" s="83" t="str">
        <f>IFERROR(IF(OR(H113="",H113=0),"",DATEDIF(IF(ISNUMBER(H113),H113,DATEVALUE(H113)),DATE(VALUE(LEFT('INPUT DATA'!$F$18,4)),6,1),"Y")),"")</f>
        <v/>
      </c>
      <c r="J113" s="83" t="str">
        <f>IFERROR(IF(OR(H113="",H113=0),"",DATEDIF(IF(ISNUMBER(H113),H113,DATEVALUE(H113)),DATE(VALUE(LEFT('INPUT DATA'!$F$18,4)),6,1),"YM")),"")</f>
        <v/>
      </c>
      <c r="K113" s="83" t="str">
        <f>IFERROR(IF(OR(H113="",H113=0),"",DATEDIF(IF(ISNUMBER(H113),H113,DATEVALUE(H113)),DATE(VALUE(RIGHT('INPUT DATA'!$F$18,4)),5,31),"Y")),"")</f>
        <v/>
      </c>
      <c r="L113" s="83" t="str">
        <f>IFERROR(IF(OR(H113="",H113=0),"",DATEDIF(IF(ISNUMBER(H113),H113,DATEVALUE(H113)),DATE(VALUE(RIGHT('INPUT DATA'!$F$18,4)),5,31),"YM")),"")</f>
        <v/>
      </c>
      <c r="M113" s="78" t="s">
        <v>51</v>
      </c>
      <c r="N113" s="73"/>
      <c r="O113" s="74"/>
      <c r="P113" s="74"/>
      <c r="Q113" s="74"/>
      <c r="R113" s="74"/>
      <c r="S113" s="74"/>
      <c r="T113" s="74"/>
      <c r="U113" s="74"/>
      <c r="V113" s="74"/>
      <c r="W113" s="74"/>
      <c r="X113" s="74"/>
      <c r="Y113" s="75"/>
      <c r="Z113" s="73"/>
      <c r="AA113" s="74"/>
      <c r="AB113" s="74"/>
      <c r="AC113" s="74"/>
      <c r="AD113" s="74"/>
      <c r="AE113" s="74"/>
      <c r="AF113" s="74"/>
      <c r="AG113" s="74"/>
      <c r="AH113" s="74"/>
      <c r="AI113" s="74"/>
      <c r="AJ113" s="74"/>
      <c r="AK113" s="74"/>
      <c r="AL113" s="74"/>
      <c r="AM113" s="74"/>
      <c r="AN113" s="74"/>
      <c r="AO113" s="74"/>
      <c r="AP113" s="74"/>
      <c r="AQ113" s="74"/>
      <c r="AR113" s="74"/>
      <c r="AS113" s="75"/>
      <c r="AT113" s="73"/>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5"/>
    </row>
    <row r="114" spans="1:73" ht="15.75" customHeight="1" x14ac:dyDescent="0.15">
      <c r="A114" s="7"/>
      <c r="B114" s="102">
        <v>50</v>
      </c>
      <c r="C114" s="155" t="str">
        <f>IF('INPUT DATA'!Q59="","",'INPUT DATA'!Q59)</f>
        <v/>
      </c>
      <c r="D114" s="156"/>
      <c r="E114" s="157"/>
      <c r="F114" s="158" t="str">
        <f>IF('INPUT DATA'!R59="","",'INPUT DATA'!R59)</f>
        <v/>
      </c>
      <c r="G114" s="157"/>
      <c r="H114" s="103" t="str">
        <f>IF('INPUT DATA'!S59="","",'INPUT DATA'!S59)</f>
        <v/>
      </c>
      <c r="I114" s="100" t="str">
        <f>IFERROR(IF(OR(H114="",H114=0),"",DATEDIF(IF(ISNUMBER(H114),H114,DATEVALUE(H114)),DATE(VALUE(LEFT('INPUT DATA'!$F$18,4)),6,1),"Y")),"")</f>
        <v/>
      </c>
      <c r="J114" s="100" t="str">
        <f>IFERROR(IF(OR(H114="",H114=0),"",DATEDIF(IF(ISNUMBER(H114),H114,DATEVALUE(H114)),DATE(VALUE(LEFT('INPUT DATA'!$F$18,4)),6,1),"YM")),"")</f>
        <v/>
      </c>
      <c r="K114" s="100" t="str">
        <f>IFERROR(IF(OR(H114="",H114=0),"",DATEDIF(IF(ISNUMBER(H114),H114,DATEVALUE(H114)),DATE(VALUE(RIGHT('INPUT DATA'!$F$18,4)),5,31),"Y")),"")</f>
        <v/>
      </c>
      <c r="L114" s="100" t="str">
        <f>IFERROR(IF(OR(H114="",H114=0),"",DATEDIF(IF(ISNUMBER(H114),H114,DATEVALUE(H114)),DATE(VALUE(RIGHT('INPUT DATA'!$F$18,4)),5,31),"YM")),"")</f>
        <v/>
      </c>
      <c r="M114" s="104" t="s">
        <v>51</v>
      </c>
      <c r="N114" s="89"/>
      <c r="O114" s="90"/>
      <c r="P114" s="90"/>
      <c r="Q114" s="90"/>
      <c r="R114" s="90"/>
      <c r="S114" s="90"/>
      <c r="T114" s="90"/>
      <c r="U114" s="90"/>
      <c r="V114" s="90"/>
      <c r="W114" s="90"/>
      <c r="X114" s="90"/>
      <c r="Y114" s="91"/>
      <c r="Z114" s="89"/>
      <c r="AA114" s="90"/>
      <c r="AB114" s="90"/>
      <c r="AC114" s="90"/>
      <c r="AD114" s="90"/>
      <c r="AE114" s="90"/>
      <c r="AF114" s="90"/>
      <c r="AG114" s="90"/>
      <c r="AH114" s="90"/>
      <c r="AI114" s="90"/>
      <c r="AJ114" s="90"/>
      <c r="AK114" s="90"/>
      <c r="AL114" s="90"/>
      <c r="AM114" s="90"/>
      <c r="AN114" s="90"/>
      <c r="AO114" s="90"/>
      <c r="AP114" s="90"/>
      <c r="AQ114" s="90"/>
      <c r="AR114" s="90"/>
      <c r="AS114" s="91"/>
      <c r="AT114" s="89"/>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1"/>
    </row>
    <row r="115" spans="1:73" ht="15.75" customHeight="1" x14ac:dyDescent="0.15">
      <c r="A115" s="5"/>
      <c r="B115" s="5"/>
      <c r="C115" s="9"/>
      <c r="D115" s="7"/>
      <c r="E115" s="7"/>
      <c r="F115" s="7"/>
      <c r="G115" s="7"/>
      <c r="H115" s="7"/>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row>
    <row r="116" spans="1:73" ht="15.75" customHeight="1" x14ac:dyDescent="0.15">
      <c r="A116" s="5"/>
      <c r="B116" s="5"/>
      <c r="C116" s="9"/>
      <c r="D116" s="7"/>
      <c r="E116" s="7"/>
      <c r="F116" s="7"/>
      <c r="G116" s="7"/>
      <c r="H116" s="7"/>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row>
    <row r="117" spans="1:73" ht="15.75" customHeight="1" x14ac:dyDescent="0.15">
      <c r="A117" s="5"/>
      <c r="B117" s="5"/>
      <c r="C117" s="9"/>
      <c r="D117" s="7"/>
      <c r="E117" s="7"/>
      <c r="F117" s="7"/>
      <c r="G117" s="7"/>
      <c r="H117" s="7"/>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row>
    <row r="118" spans="1:73" ht="15.75" customHeight="1" x14ac:dyDescent="0.15">
      <c r="A118" s="5"/>
      <c r="B118" s="5"/>
      <c r="C118" s="9"/>
      <c r="D118" s="7"/>
      <c r="E118" s="7"/>
      <c r="F118" s="7"/>
      <c r="G118" s="7"/>
      <c r="H118" s="7"/>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row>
    <row r="119" spans="1:73" ht="15.75" customHeight="1" x14ac:dyDescent="0.15">
      <c r="A119" s="5"/>
      <c r="B119" s="5"/>
      <c r="C119" s="9"/>
      <c r="D119" s="7"/>
      <c r="E119" s="7"/>
      <c r="F119" s="7"/>
      <c r="G119" s="7"/>
      <c r="H119" s="7"/>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row>
    <row r="120" spans="1:73" ht="15.75" customHeight="1" x14ac:dyDescent="0.15">
      <c r="A120" s="5"/>
      <c r="B120" s="5"/>
      <c r="C120" s="9"/>
      <c r="D120" s="7"/>
      <c r="E120" s="7"/>
      <c r="F120" s="7"/>
      <c r="G120" s="7"/>
      <c r="H120" s="7"/>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row>
    <row r="121" spans="1:73" ht="15.75" customHeight="1" x14ac:dyDescent="0.15">
      <c r="A121" s="5"/>
      <c r="B121" s="5"/>
      <c r="C121" s="9"/>
      <c r="D121" s="7"/>
      <c r="E121" s="7"/>
      <c r="F121" s="7"/>
      <c r="G121" s="7"/>
      <c r="H121" s="7"/>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row>
    <row r="122" spans="1:73" ht="15.75" customHeight="1" x14ac:dyDescent="0.15">
      <c r="A122" s="5"/>
      <c r="B122" s="5"/>
      <c r="C122" s="9"/>
      <c r="D122" s="7"/>
      <c r="E122" s="7"/>
      <c r="F122" s="7"/>
      <c r="G122" s="7"/>
      <c r="H122" s="7"/>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row>
    <row r="123" spans="1:73" ht="15.75" customHeight="1" x14ac:dyDescent="0.15">
      <c r="A123" s="5"/>
      <c r="B123" s="5"/>
      <c r="C123" s="9"/>
      <c r="D123" s="7"/>
      <c r="E123" s="7"/>
      <c r="F123" s="7"/>
      <c r="G123" s="7"/>
      <c r="H123" s="7"/>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row>
    <row r="124" spans="1:73" ht="15.75" customHeight="1" x14ac:dyDescent="0.15"/>
    <row r="125" spans="1:73" ht="15.75" customHeight="1" x14ac:dyDescent="0.15"/>
    <row r="126" spans="1:73" ht="15.75" customHeight="1" x14ac:dyDescent="0.15"/>
    <row r="127" spans="1:73" ht="15.75" customHeight="1" x14ac:dyDescent="0.15"/>
    <row r="128" spans="1:73"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88">
    <mergeCell ref="F56:G56"/>
    <mergeCell ref="C40:E40"/>
    <mergeCell ref="C41:E41"/>
    <mergeCell ref="C42:E42"/>
    <mergeCell ref="C43:E43"/>
    <mergeCell ref="B65:BU65"/>
    <mergeCell ref="F41:G41"/>
    <mergeCell ref="F42:G42"/>
    <mergeCell ref="F12:G14"/>
    <mergeCell ref="H12:H14"/>
    <mergeCell ref="I12:I14"/>
    <mergeCell ref="J12:J14"/>
    <mergeCell ref="K12:K14"/>
    <mergeCell ref="F17:G17"/>
    <mergeCell ref="F18:G18"/>
    <mergeCell ref="F19:G19"/>
    <mergeCell ref="F20:G20"/>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M9:M14"/>
    <mergeCell ref="B12:E14"/>
    <mergeCell ref="N9:Q9"/>
    <mergeCell ref="R9:AD9"/>
    <mergeCell ref="AE9:AG10"/>
    <mergeCell ref="AH9:BU10"/>
    <mergeCell ref="N10:Q10"/>
    <mergeCell ref="R10:AD10"/>
    <mergeCell ref="A1:V4"/>
    <mergeCell ref="E5:G5"/>
    <mergeCell ref="K5:M5"/>
    <mergeCell ref="E6:G6"/>
    <mergeCell ref="K6:M6"/>
    <mergeCell ref="T6:U6"/>
    <mergeCell ref="B9:H11"/>
    <mergeCell ref="I9:J11"/>
    <mergeCell ref="K9:L11"/>
    <mergeCell ref="BT13:BT14"/>
    <mergeCell ref="BU13:BU14"/>
    <mergeCell ref="BM13:BM14"/>
    <mergeCell ref="BN13:BN14"/>
    <mergeCell ref="BO13:BO14"/>
    <mergeCell ref="BP13:BP14"/>
    <mergeCell ref="BQ13:BQ14"/>
    <mergeCell ref="BR13:BR14"/>
    <mergeCell ref="BS13:BS14"/>
    <mergeCell ref="BJ13:BK13"/>
    <mergeCell ref="BL13:BL14"/>
    <mergeCell ref="AZ13:AZ14"/>
    <mergeCell ref="BA13:BA14"/>
    <mergeCell ref="BB13:BB14"/>
    <mergeCell ref="BC13:BC14"/>
    <mergeCell ref="BD13:BD14"/>
    <mergeCell ref="BE13:BE14"/>
    <mergeCell ref="BG13:BH13"/>
    <mergeCell ref="N11:R11"/>
    <mergeCell ref="S11:Y11"/>
    <mergeCell ref="Z11:AS11"/>
    <mergeCell ref="AT11:BU11"/>
    <mergeCell ref="AT12:AW12"/>
    <mergeCell ref="AX12:AY12"/>
    <mergeCell ref="AZ12:BE12"/>
    <mergeCell ref="BF12:BK12"/>
    <mergeCell ref="BL12:BM12"/>
    <mergeCell ref="BN12:BP12"/>
    <mergeCell ref="BQ12:BU12"/>
    <mergeCell ref="AQ12:AQ14"/>
    <mergeCell ref="AR12:AR14"/>
    <mergeCell ref="AJ12:AJ14"/>
    <mergeCell ref="AK12:AK14"/>
    <mergeCell ref="AL12:AL14"/>
    <mergeCell ref="AM12:AM14"/>
    <mergeCell ref="AN12:AN14"/>
    <mergeCell ref="AO12:AO14"/>
    <mergeCell ref="AP12:AP14"/>
    <mergeCell ref="AH12:AH14"/>
    <mergeCell ref="AI12:AI14"/>
    <mergeCell ref="AA12:AA14"/>
    <mergeCell ref="AB12:AB14"/>
    <mergeCell ref="AC12:AC14"/>
    <mergeCell ref="AD12:AD14"/>
    <mergeCell ref="AE12:AE14"/>
    <mergeCell ref="AF12:AF14"/>
    <mergeCell ref="AG12:AG14"/>
    <mergeCell ref="F24:G24"/>
    <mergeCell ref="F25:G25"/>
    <mergeCell ref="F26:G26"/>
    <mergeCell ref="F27:G27"/>
    <mergeCell ref="F28:G28"/>
    <mergeCell ref="C37:E37"/>
    <mergeCell ref="C38:E38"/>
    <mergeCell ref="C39:E39"/>
    <mergeCell ref="F37:G37"/>
    <mergeCell ref="F38:G38"/>
    <mergeCell ref="F39:G39"/>
    <mergeCell ref="C93:E93"/>
    <mergeCell ref="F93:G93"/>
    <mergeCell ref="F29:G29"/>
    <mergeCell ref="F30:G30"/>
    <mergeCell ref="F31:G31"/>
    <mergeCell ref="F32:G32"/>
    <mergeCell ref="F33:G33"/>
    <mergeCell ref="F34:G34"/>
    <mergeCell ref="F35:G35"/>
    <mergeCell ref="F36:G36"/>
    <mergeCell ref="F40:G40"/>
    <mergeCell ref="F43:G43"/>
    <mergeCell ref="F44:G44"/>
    <mergeCell ref="F45:G45"/>
    <mergeCell ref="F46:G46"/>
    <mergeCell ref="F47:G47"/>
    <mergeCell ref="F48:G48"/>
    <mergeCell ref="F49:G49"/>
    <mergeCell ref="F50:G50"/>
    <mergeCell ref="F51:G51"/>
    <mergeCell ref="F52:G52"/>
    <mergeCell ref="F53:G53"/>
    <mergeCell ref="F54:G54"/>
    <mergeCell ref="F55:G55"/>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 ref="C68:E68"/>
    <mergeCell ref="F68:G68"/>
    <mergeCell ref="F69:G69"/>
    <mergeCell ref="C69:E69"/>
    <mergeCell ref="C70:E70"/>
    <mergeCell ref="F70:G70"/>
    <mergeCell ref="C71:E71"/>
    <mergeCell ref="F71:G71"/>
    <mergeCell ref="C72:E72"/>
    <mergeCell ref="F72:G72"/>
    <mergeCell ref="C60:E60"/>
    <mergeCell ref="C61:E61"/>
    <mergeCell ref="C62:E62"/>
    <mergeCell ref="C63:E63"/>
    <mergeCell ref="C64:E64"/>
    <mergeCell ref="C66:E66"/>
    <mergeCell ref="F66:G66"/>
    <mergeCell ref="C67:E67"/>
    <mergeCell ref="F67:G67"/>
    <mergeCell ref="C113:E113"/>
    <mergeCell ref="F113:G113"/>
    <mergeCell ref="C114:E114"/>
    <mergeCell ref="F114:G114"/>
    <mergeCell ref="C108:E108"/>
    <mergeCell ref="F108:G108"/>
    <mergeCell ref="C109:E109"/>
    <mergeCell ref="F109:G109"/>
    <mergeCell ref="C110:E110"/>
    <mergeCell ref="F110:G110"/>
    <mergeCell ref="F111:G111"/>
    <mergeCell ref="C24:E24"/>
    <mergeCell ref="C25:E25"/>
    <mergeCell ref="C26:E26"/>
    <mergeCell ref="C27:E27"/>
    <mergeCell ref="C28:E28"/>
    <mergeCell ref="C29:E29"/>
    <mergeCell ref="C111:E111"/>
    <mergeCell ref="C112:E112"/>
    <mergeCell ref="F112:G112"/>
    <mergeCell ref="F60:G60"/>
    <mergeCell ref="F61:G61"/>
    <mergeCell ref="F62:G62"/>
    <mergeCell ref="F63:G63"/>
    <mergeCell ref="F64:G64"/>
    <mergeCell ref="C44:E44"/>
    <mergeCell ref="C45:E45"/>
    <mergeCell ref="C46:E46"/>
    <mergeCell ref="C47:E47"/>
    <mergeCell ref="C48:E48"/>
    <mergeCell ref="C49:E49"/>
    <mergeCell ref="C50:E50"/>
    <mergeCell ref="C51:E51"/>
    <mergeCell ref="C52:E52"/>
    <mergeCell ref="C53:E53"/>
    <mergeCell ref="C16:E16"/>
    <mergeCell ref="F16:G16"/>
    <mergeCell ref="C17:E17"/>
    <mergeCell ref="C18:E18"/>
    <mergeCell ref="C19:E19"/>
    <mergeCell ref="C20:E20"/>
    <mergeCell ref="C21:E21"/>
    <mergeCell ref="C22:E22"/>
    <mergeCell ref="C23:E23"/>
    <mergeCell ref="F22:G22"/>
    <mergeCell ref="F23:G23"/>
    <mergeCell ref="F21:G21"/>
    <mergeCell ref="F104:G104"/>
    <mergeCell ref="C104:E104"/>
    <mergeCell ref="C105:E105"/>
    <mergeCell ref="F105:G105"/>
    <mergeCell ref="C106:E106"/>
    <mergeCell ref="F106:G106"/>
    <mergeCell ref="C107:E107"/>
    <mergeCell ref="F107:G107"/>
    <mergeCell ref="C30:E30"/>
    <mergeCell ref="C31:E31"/>
    <mergeCell ref="C32:E32"/>
    <mergeCell ref="C33:E33"/>
    <mergeCell ref="C34:E34"/>
    <mergeCell ref="C35:E35"/>
    <mergeCell ref="C36:E36"/>
    <mergeCell ref="F57:G57"/>
    <mergeCell ref="F58:G58"/>
    <mergeCell ref="F59:G59"/>
    <mergeCell ref="C54:E54"/>
    <mergeCell ref="C55:E55"/>
    <mergeCell ref="C56:E56"/>
    <mergeCell ref="C57:E57"/>
    <mergeCell ref="C58:E58"/>
    <mergeCell ref="C59:E59"/>
    <mergeCell ref="C99:E99"/>
    <mergeCell ref="F99:G99"/>
    <mergeCell ref="C100:E100"/>
    <mergeCell ref="F100:G100"/>
    <mergeCell ref="C101:E101"/>
    <mergeCell ref="F101:G101"/>
    <mergeCell ref="C102:E102"/>
    <mergeCell ref="F102:G102"/>
    <mergeCell ref="C103:E103"/>
    <mergeCell ref="F103:G103"/>
    <mergeCell ref="C94:E94"/>
    <mergeCell ref="F94:G94"/>
    <mergeCell ref="C95:E95"/>
    <mergeCell ref="F95:G95"/>
    <mergeCell ref="C96:E96"/>
    <mergeCell ref="F96:G96"/>
    <mergeCell ref="F97:G97"/>
    <mergeCell ref="C97:E97"/>
    <mergeCell ref="C98:E98"/>
    <mergeCell ref="F98:G98"/>
  </mergeCells>
  <dataValidations count="44">
    <dataValidation type="list" allowBlank="1" showDropDown="1" showInputMessage="1" showErrorMessage="1" prompt="Identifies attributes of objects (color, shape, size)" sqref="Z12 AB12 AD12 AF12 AH12 AJ12 AL12 AN12 AP12 AR12" xr:uid="{00000000-0002-0000-0400-000000000000}">
      <formula1>"1"</formula1>
    </dataValidation>
    <dataValidation type="list" allowBlank="1" showDropDown="1" showInputMessage="1" showErrorMessage="1" prompt="Expresses ideas and feelings using phrases and simple sentences" sqref="BE13" xr:uid="{00000000-0002-0000-0400-000001000000}">
      <formula1>"12"</formula1>
    </dataValidation>
    <dataValidation type="list" allowBlank="1" showDropDown="1" showInputMessage="1" showErrorMessage="1" prompt="Identifies letter sound" sqref="BJ14" xr:uid="{00000000-0002-0000-0400-000002000000}">
      <formula1>"17"</formula1>
    </dataValidation>
    <dataValidation type="list" allowBlank="1" showDropDown="1" showInputMessage="1" showErrorMessage="1" prompt="Identifies and expresses feelings in appropriate ways" sqref="S12" xr:uid="{00000000-0002-0000-0400-000003000000}">
      <formula1>"1"</formula1>
    </dataValidation>
    <dataValidation type="list" allowBlank="1" showDropDown="1" showInputMessage="1" showErrorMessage="1" prompt="Retells personal experiences to story events" sqref="BD13" xr:uid="{00000000-0002-0000-0400-000004000000}">
      <formula1>"11"</formula1>
    </dataValidation>
    <dataValidation type="list" allowBlank="1" showDropDown="1" showInputMessage="1" showErrorMessage="1" prompt="Demonstrates awareness of print (left to right and top to bottom)" sqref="BP13" xr:uid="{00000000-0002-0000-0400-000005000000}">
      <formula1>"23"</formula1>
    </dataValidation>
    <dataValidation type="list" allowBlank="1" showDropDown="1" showInputMessage="1" showErrorMessage="1" prompt="Spells simple words phonetically" sqref="BU13" xr:uid="{00000000-0002-0000-0400-000006000000}">
      <formula1>"28"</formula1>
    </dataValidation>
    <dataValidation type="list" allowBlank="1" showDropDown="1" showInputMessage="1" showErrorMessage="1" prompt="Recognizes sight words" sqref="AY13" xr:uid="{00000000-0002-0000-0400-000007000000}">
      <formula1>"6"</formula1>
    </dataValidation>
    <dataValidation type="list" allowBlank="1" showDropDown="1" showInputMessage="1" showErrorMessage="1" prompt="Identifies classmates, teachers, family member" sqref="BA13" xr:uid="{00000000-0002-0000-0400-000008000000}">
      <formula1>"8"</formula1>
    </dataValidation>
    <dataValidation type="list" allowBlank="1" showDropDown="1" showInputMessage="1" showErrorMessage="1" prompt="Identifies familiar objects at home, in school and in the community" sqref="BB13" xr:uid="{00000000-0002-0000-0400-000009000000}">
      <formula1>"9"</formula1>
    </dataValidation>
    <dataValidation type="list" allowBlank="1" showDropDown="1" showInputMessage="1" showErrorMessage="1" prompt="Orally segment sounds a. syllable  b. onset and rime  c. phoneme by phoneme" sqref="BF14" xr:uid="{00000000-0002-0000-0400-00000A000000}">
      <formula1>"13"</formula1>
    </dataValidation>
    <dataValidation type="list" allowBlank="1" showDropDown="1" showInputMessage="1" showErrorMessage="1" prompt="Identifies ways to care for and protects one’s body" sqref="O12" xr:uid="{00000000-0002-0000-0400-00000B000000}">
      <formula1>"2"</formula1>
    </dataValidation>
    <dataValidation type="list" allowBlank="1" showDropDown="1" showInputMessage="1" showErrorMessage="1" prompt="Demonstrates gross motor skills (locomotor, non-locomotor)" sqref="P12" xr:uid="{00000000-0002-0000-0400-00000C000000}">
      <formula1>"3"</formula1>
    </dataValidation>
    <dataValidation type="list" allowBlank="1" showDropDown="1" showInputMessage="1" showErrorMessage="1" prompt="Participates in classroom routines and activities" sqref="W12" xr:uid="{00000000-0002-0000-0400-00000D000000}">
      <formula1>"5"</formula1>
    </dataValidation>
    <dataValidation type="list" allowBlank="1" showDropDown="1" showInputMessage="1" showErrorMessage="1" prompt="Spells sight words" sqref="BT13" xr:uid="{00000000-0002-0000-0400-00000E000000}">
      <formula1>"27"</formula1>
    </dataValidation>
    <dataValidation type="list" allowBlank="1" showDropDown="1" showInputMessage="1" showErrorMessage="1" prompt="Follows classroom and school rules" sqref="X12" xr:uid="{00000000-0002-0000-0400-00000F000000}">
      <formula1>"6"</formula1>
    </dataValidation>
    <dataValidation type="list" allowBlank="1" showDropDown="1" showInputMessage="1" showErrorMessage="1" prompt="Recognizes non-decodable words in and out of context automatically" sqref="AX13" xr:uid="{00000000-0002-0000-0400-000010000000}">
      <formula1>"5"</formula1>
    </dataValidation>
    <dataValidation type="list" allowBlank="1" showDropDown="1" showInputMessage="1" showErrorMessage="1" prompt="Identifies lowercase letters" sqref="BH14" xr:uid="{00000000-0002-0000-0400-000011000000}">
      <formula1>"15"</formula1>
    </dataValidation>
    <dataValidation type="list" allowBlank="1" showDropDown="1" showInputMessage="1" showErrorMessage="1" prompt="Demonstrates fine motor skills (tearing, cutting, rolling, molding with playdough)" sqref="R12" xr:uid="{00000000-0002-0000-0400-000012000000}">
      <formula1>"5"</formula1>
    </dataValidation>
    <dataValidation type="list" allowBlank="1" showDropDown="1" showInputMessage="1" showErrorMessage="1" prompt="Traces/draws/copies shapes, designs, pictures" sqref="BQ13" xr:uid="{00000000-0002-0000-0400-000013000000}">
      <formula1>"24"</formula1>
    </dataValidation>
    <dataValidation type="list" allowBlank="1" showDropDown="1" showInputMessage="1" showErrorMessage="1" prompt="Uses a variety of strategies to gain meaning of leveled texts" sqref="BL13" xr:uid="{00000000-0002-0000-0400-000014000000}">
      <formula1>"19"</formula1>
    </dataValidation>
    <dataValidation type="list" allowBlank="1" showDropDown="1" showInputMessage="1" showErrorMessage="1" prompt="Identifies external body parts and their functions" sqref="N12" xr:uid="{00000000-0002-0000-0400-000015000000}">
      <formula1>"1"</formula1>
    </dataValidation>
    <dataValidation type="list" allowBlank="1" showDropDown="1" showInputMessage="1" showErrorMessage="1" prompt="Fulfills classroom responsibilities" sqref="Y12" xr:uid="{00000000-0002-0000-0400-000016000000}">
      <formula1>"7"</formula1>
    </dataValidation>
    <dataValidation type="list" allowBlank="1" showDropDown="1" showInputMessage="1" showErrorMessage="1" prompt="Retells story in sequence " sqref="AV13" xr:uid="{00000000-0002-0000-0400-000017000000}">
      <formula1>"3"</formula1>
    </dataValidation>
    <dataValidation type="list" allowBlank="1" showDropDown="1" showInputMessage="1" showErrorMessage="1" prompt="Writes uppercase and lowercase letters" sqref="BS13" xr:uid="{00000000-0002-0000-0400-000018000000}">
      <formula1>"26"</formula1>
    </dataValidation>
    <dataValidation type="list" allowBlank="1" showDropDown="1" showInputMessage="1" showErrorMessage="1" prompt="Recalls what happens first, middle and end in a story" sqref="AU13" xr:uid="{00000000-0002-0000-0400-000019000000}">
      <formula1>"2"</formula1>
    </dataValidation>
    <dataValidation type="list" allowBlank="1" showDropDown="1" showInputMessage="1" showErrorMessage="1" prompt="Traces/copies/writes name, words" sqref="BR13" xr:uid="{00000000-0002-0000-0400-00001A000000}">
      <formula1>"25"</formula1>
    </dataValidation>
    <dataValidation type="list" allowBlank="1" showErrorMessage="1" sqref="N16:BU64 N66:BU114" xr:uid="{00000000-0002-0000-0400-00001B000000}">
      <formula1>"CO,DV,BG"</formula1>
    </dataValidation>
    <dataValidation type="list" allowBlank="1" showDropDown="1" showInputMessage="1" showErrorMessage="1" prompt="Recognizes and respect feelings of others" sqref="T12" xr:uid="{00000000-0002-0000-0400-00001C000000}">
      <formula1>"2"</formula1>
    </dataValidation>
    <dataValidation type="list" allowBlank="1" showDropDown="1" showInputMessage="1" showErrorMessage="1" prompt="Identifies uppercase letters" sqref="BG14" xr:uid="{00000000-0002-0000-0400-00001D000000}">
      <formula1>"14"</formula1>
    </dataValidation>
    <dataValidation type="list" allowBlank="1" showDropDown="1" showInputMessage="1" showErrorMessage="1" prompt="Behaves appropriately in different situations" sqref="V12" xr:uid="{00000000-0002-0000-0400-00001E000000}">
      <formula1>"4"</formula1>
    </dataValidation>
    <dataValidation type="list" allowBlank="1" showDropDown="1" showInputMessage="1" showErrorMessage="1" prompt="Identifies familiar environmental sound" sqref="AT13" xr:uid="{00000000-0002-0000-0400-00001F000000}">
      <formula1>"1"</formula1>
    </dataValidation>
    <dataValidation type="list" allowBlank="1" showDropDown="1" showInputMessage="1" showErrorMessage="1" prompt="Uses print and illustrations to make meaning" sqref="BM13" xr:uid="{00000000-0002-0000-0400-000020000000}">
      <formula1>"20"</formula1>
    </dataValidation>
    <dataValidation type="list" allowBlank="1" showDropDown="1" showInputMessage="1" showErrorMessage="1" prompt="Moves body parts as directed" sqref="Q12" xr:uid="{00000000-0002-0000-0400-000021000000}">
      <formula1>"4"</formula1>
    </dataValidation>
    <dataValidation type="list" allowBlank="1" showErrorMessage="1" sqref="M16:M64 M66:M114" xr:uid="{00000000-0002-0000-0400-000022000000}">
      <formula1>"F,M"</formula1>
    </dataValidation>
    <dataValidation type="list" allowBlank="1" showDropDown="1" showInputMessage="1" showErrorMessage="1" prompt="Follows 1-2 step instructions" sqref="AW13" xr:uid="{00000000-0002-0000-0400-000023000000}">
      <formula1>"4"</formula1>
    </dataValidation>
    <dataValidation type="list" allowBlank="1" showDropDown="1" showInputMessage="1" showErrorMessage="1" prompt="Expresses needs and preferences" sqref="U12" xr:uid="{00000000-0002-0000-0400-000024000000}">
      <formula1>"3"</formula1>
    </dataValidation>
    <dataValidation type="list" allowBlank="1" showDropDown="1" showInputMessage="1" showErrorMessage="1" prompt="Matches upper and lowercase letters" sqref="BI14" xr:uid="{00000000-0002-0000-0400-000025000000}">
      <formula1>"16"</formula1>
    </dataValidation>
    <dataValidation type="list" allowBlank="1" showDropDown="1" showInputMessage="1" showErrorMessage="1" prompt="Uses polite greetings and courteous expressions in varied situations" sqref="BC13" xr:uid="{00000000-0002-0000-0400-000026000000}">
      <formula1>"10"</formula1>
    </dataValidation>
    <dataValidation type="list" allowBlank="1" showDropDown="1" showInputMessage="1" showErrorMessage="1" prompt="Demonstrates book handling skills" sqref="BN13" xr:uid="{00000000-0002-0000-0400-000027000000}">
      <formula1>"21"</formula1>
    </dataValidation>
    <dataValidation type="list" allowBlank="1" showDropDown="1" showInputMessage="1" showErrorMessage="1" prompt="Matches objects based on attributes" sqref="AA12 AC12 AE12 AG12 AI12 AK12 AM12 AO12 AQ12 AS12" xr:uid="{00000000-0002-0000-0400-000028000000}">
      <formula1>"2"</formula1>
    </dataValidation>
    <dataValidation type="list" allowBlank="1" showDropDown="1" showInputMessage="1" showErrorMessage="1" prompt="Identifies first and last name" sqref="AZ13" xr:uid="{00000000-0002-0000-0400-000029000000}">
      <formula1>"7"</formula1>
    </dataValidation>
    <dataValidation type="list" allowBlank="1" showDropDown="1" showInputMessage="1" showErrorMessage="1" prompt="Matches letters and their corresponding sounds" sqref="BK14" xr:uid="{00000000-0002-0000-0400-00002A000000}">
      <formula1>"18"</formula1>
    </dataValidation>
    <dataValidation type="list" allowBlank="1" showDropDown="1" showInputMessage="1" showErrorMessage="1" prompt="Distinguishes between letters, words, and sentences" sqref="BO13" xr:uid="{00000000-0002-0000-0400-00002B000000}">
      <formula1>"22"</formula1>
    </dataValidation>
  </dataValidations>
  <pageMargins left="0.7" right="0.7" top="0.75" bottom="0.75"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outlinePr summaryBelow="0"/>
    <pageSetUpPr fitToPage="1"/>
  </sheetPr>
  <dimension ref="A1:BU1000"/>
  <sheetViews>
    <sheetView workbookViewId="0">
      <pane ySplit="14" topLeftCell="A15" activePane="bottomLeft" state="frozen"/>
      <selection pane="bottomLeft" activeCell="T6" sqref="T6:U6"/>
    </sheetView>
  </sheetViews>
  <sheetFormatPr baseColWidth="10" defaultColWidth="12.6640625" defaultRowHeight="15" customHeight="1" x14ac:dyDescent="0.15"/>
  <cols>
    <col min="1" max="1" width="3.6640625" customWidth="1"/>
    <col min="2" max="2" width="4.33203125" customWidth="1"/>
    <col min="3" max="3" width="13.1640625" customWidth="1"/>
    <col min="6" max="6" width="15.33203125" customWidth="1"/>
    <col min="9" max="12" width="6.33203125" customWidth="1"/>
    <col min="13" max="13" width="5.1640625" customWidth="1"/>
    <col min="14" max="49" width="5.6640625" customWidth="1"/>
    <col min="50" max="51" width="7" customWidth="1"/>
    <col min="52" max="57" width="5.6640625" customWidth="1"/>
    <col min="58" max="58" width="15.6640625" customWidth="1"/>
    <col min="59" max="59" width="7" customWidth="1"/>
    <col min="60" max="61" width="5.6640625" customWidth="1"/>
    <col min="62" max="62" width="7.5" customWidth="1"/>
    <col min="63" max="63" width="5.6640625" customWidth="1"/>
    <col min="64" max="64" width="10.33203125" customWidth="1"/>
    <col min="65" max="65" width="8.33203125" customWidth="1"/>
    <col min="66" max="73" width="5.6640625" customWidth="1"/>
  </cols>
  <sheetData>
    <row r="1" spans="1:73" ht="13" x14ac:dyDescent="0.15">
      <c r="A1" s="186" t="s">
        <v>49</v>
      </c>
      <c r="B1" s="109"/>
      <c r="C1" s="109"/>
      <c r="D1" s="109"/>
      <c r="E1" s="109"/>
      <c r="F1" s="109"/>
      <c r="G1" s="109"/>
      <c r="H1" s="109"/>
      <c r="I1" s="109"/>
      <c r="J1" s="109"/>
      <c r="K1" s="109"/>
      <c r="L1" s="109"/>
      <c r="M1" s="109"/>
      <c r="N1" s="109"/>
      <c r="O1" s="109"/>
      <c r="P1" s="109"/>
      <c r="Q1" s="109"/>
      <c r="R1" s="109"/>
      <c r="S1" s="109"/>
      <c r="T1" s="109"/>
      <c r="U1" s="109"/>
      <c r="V1" s="109"/>
      <c r="W1" s="2"/>
      <c r="X1" s="2"/>
      <c r="Y1" s="2"/>
      <c r="Z1" s="2"/>
      <c r="AA1" s="2"/>
      <c r="AB1" s="2"/>
      <c r="AC1" s="2"/>
      <c r="AD1" s="2"/>
      <c r="AE1" s="2"/>
    </row>
    <row r="2" spans="1:73" ht="13" x14ac:dyDescent="0.15">
      <c r="A2" s="109"/>
      <c r="B2" s="109"/>
      <c r="C2" s="109"/>
      <c r="D2" s="109"/>
      <c r="E2" s="109"/>
      <c r="F2" s="109"/>
      <c r="G2" s="109"/>
      <c r="H2" s="109"/>
      <c r="I2" s="109"/>
      <c r="J2" s="109"/>
      <c r="K2" s="109"/>
      <c r="L2" s="109"/>
      <c r="M2" s="109"/>
      <c r="N2" s="109"/>
      <c r="O2" s="109"/>
      <c r="P2" s="109"/>
      <c r="Q2" s="109"/>
      <c r="R2" s="109"/>
      <c r="S2" s="109"/>
      <c r="T2" s="109"/>
      <c r="U2" s="109"/>
      <c r="V2" s="109"/>
      <c r="W2" s="2"/>
      <c r="X2" s="2"/>
      <c r="Y2" s="2"/>
      <c r="Z2" s="2"/>
      <c r="AA2" s="2"/>
      <c r="AB2" s="2"/>
      <c r="AC2" s="2"/>
      <c r="AD2" s="2"/>
      <c r="AE2" s="2"/>
    </row>
    <row r="3" spans="1:73" ht="13" x14ac:dyDescent="0.15">
      <c r="A3" s="109"/>
      <c r="B3" s="109"/>
      <c r="C3" s="109"/>
      <c r="D3" s="109"/>
      <c r="E3" s="109"/>
      <c r="F3" s="109"/>
      <c r="G3" s="109"/>
      <c r="H3" s="109"/>
      <c r="I3" s="109"/>
      <c r="J3" s="109"/>
      <c r="K3" s="109"/>
      <c r="L3" s="109"/>
      <c r="M3" s="109"/>
      <c r="N3" s="109"/>
      <c r="O3" s="109"/>
      <c r="P3" s="109"/>
      <c r="Q3" s="109"/>
      <c r="R3" s="109"/>
      <c r="S3" s="109"/>
      <c r="T3" s="109"/>
      <c r="U3" s="109"/>
      <c r="V3" s="109"/>
      <c r="W3" s="2"/>
      <c r="X3" s="2"/>
      <c r="Y3" s="2"/>
      <c r="Z3" s="2"/>
      <c r="AA3" s="2"/>
      <c r="AB3" s="2"/>
      <c r="AC3" s="2"/>
      <c r="AD3" s="2"/>
      <c r="AE3" s="2"/>
    </row>
    <row r="4" spans="1:73" ht="13" x14ac:dyDescent="0.15">
      <c r="A4" s="109"/>
      <c r="B4" s="109"/>
      <c r="C4" s="109"/>
      <c r="D4" s="109"/>
      <c r="E4" s="109"/>
      <c r="F4" s="109"/>
      <c r="G4" s="109"/>
      <c r="H4" s="109"/>
      <c r="I4" s="109"/>
      <c r="J4" s="109"/>
      <c r="K4" s="109"/>
      <c r="L4" s="109"/>
      <c r="M4" s="109"/>
      <c r="N4" s="109"/>
      <c r="O4" s="109"/>
      <c r="P4" s="109"/>
      <c r="Q4" s="109"/>
      <c r="R4" s="109"/>
      <c r="S4" s="109"/>
      <c r="T4" s="109"/>
      <c r="U4" s="109"/>
      <c r="V4" s="109"/>
      <c r="W4" s="5"/>
      <c r="X4" s="5"/>
      <c r="Y4" s="5"/>
      <c r="Z4" s="5"/>
      <c r="AA4" s="5"/>
      <c r="AB4" s="5"/>
      <c r="AC4" s="5"/>
      <c r="AD4" s="5"/>
      <c r="AE4" s="5"/>
    </row>
    <row r="5" spans="1:73" ht="16" x14ac:dyDescent="0.2">
      <c r="A5" s="7"/>
      <c r="B5" s="8"/>
      <c r="C5" s="9"/>
      <c r="D5" s="10" t="s">
        <v>4</v>
      </c>
      <c r="E5" s="187">
        <f>'INPUT DATA'!F10</f>
        <v>0</v>
      </c>
      <c r="F5" s="168"/>
      <c r="G5" s="169"/>
      <c r="H5" s="13"/>
      <c r="I5" s="10" t="s">
        <v>6</v>
      </c>
      <c r="J5" s="10"/>
      <c r="K5" s="187">
        <f>'INPUT DATA'!F11</f>
        <v>0</v>
      </c>
      <c r="L5" s="168"/>
      <c r="M5" s="169"/>
      <c r="N5" s="17"/>
      <c r="O5" s="13"/>
      <c r="P5" s="13"/>
      <c r="Q5" s="13"/>
      <c r="R5" s="13"/>
      <c r="S5" s="13"/>
      <c r="T5" s="13"/>
      <c r="U5" s="13"/>
      <c r="V5" s="7"/>
      <c r="W5" s="7"/>
      <c r="X5" s="7"/>
      <c r="Y5" s="7"/>
      <c r="Z5" s="7"/>
      <c r="AA5" s="7"/>
      <c r="AB5" s="7"/>
      <c r="AC5" s="7"/>
      <c r="AD5" s="7"/>
      <c r="AE5" s="7"/>
    </row>
    <row r="6" spans="1:73" ht="16" x14ac:dyDescent="0.2">
      <c r="A6" s="7"/>
      <c r="B6" s="8"/>
      <c r="C6" s="23"/>
      <c r="D6" s="10" t="s">
        <v>12</v>
      </c>
      <c r="E6" s="187">
        <f>'INPUT DATA'!F16</f>
        <v>0</v>
      </c>
      <c r="F6" s="168"/>
      <c r="G6" s="169"/>
      <c r="H6" s="13"/>
      <c r="I6" s="10" t="s">
        <v>13</v>
      </c>
      <c r="J6" s="10"/>
      <c r="K6" s="188">
        <f>'INPUT DATA'!F15</f>
        <v>0</v>
      </c>
      <c r="L6" s="168"/>
      <c r="M6" s="169"/>
      <c r="N6" s="27"/>
      <c r="O6" s="28"/>
      <c r="P6" s="28"/>
      <c r="Q6" s="28"/>
      <c r="R6" s="28"/>
      <c r="S6" s="10" t="s">
        <v>15</v>
      </c>
      <c r="T6" s="188">
        <f>'INPUT DATA'!F18</f>
        <v>0</v>
      </c>
      <c r="U6" s="169"/>
      <c r="V6" s="7"/>
      <c r="W6" s="7"/>
      <c r="X6" s="7"/>
      <c r="Y6" s="7"/>
      <c r="Z6" s="7"/>
      <c r="AA6" s="7"/>
      <c r="AB6" s="7"/>
      <c r="AC6" s="7"/>
      <c r="AD6" s="7"/>
      <c r="AE6" s="7"/>
    </row>
    <row r="7" spans="1:73" ht="13" x14ac:dyDescent="0.15">
      <c r="A7" s="5"/>
      <c r="B7" s="29"/>
      <c r="C7" s="30"/>
      <c r="D7" s="30"/>
      <c r="E7" s="5"/>
      <c r="F7" s="5"/>
      <c r="G7" s="31"/>
      <c r="I7" s="5"/>
      <c r="J7" s="5"/>
      <c r="K7" s="5"/>
      <c r="L7" s="30"/>
      <c r="M7" s="5"/>
      <c r="N7" s="5"/>
      <c r="O7" s="30"/>
      <c r="P7" s="30"/>
      <c r="Q7" s="30"/>
      <c r="R7" s="30"/>
      <c r="S7" s="5"/>
      <c r="T7" s="30"/>
      <c r="U7" s="5"/>
      <c r="V7" s="5"/>
      <c r="W7" s="5"/>
      <c r="X7" s="5"/>
      <c r="Y7" s="5"/>
      <c r="Z7" s="5"/>
      <c r="AA7" s="5"/>
      <c r="AB7" s="5"/>
      <c r="AC7" s="5"/>
      <c r="AD7" s="5"/>
      <c r="AE7" s="5"/>
    </row>
    <row r="8" spans="1:73" ht="15.75" customHeight="1" x14ac:dyDescent="0.15">
      <c r="A8" s="5"/>
      <c r="B8" s="5"/>
      <c r="C8" s="33"/>
      <c r="D8" s="30"/>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row>
    <row r="9" spans="1:73" ht="15.75" customHeight="1" x14ac:dyDescent="0.15">
      <c r="A9" s="2"/>
      <c r="B9" s="189" t="s">
        <v>50</v>
      </c>
      <c r="C9" s="115"/>
      <c r="D9" s="115"/>
      <c r="E9" s="115"/>
      <c r="F9" s="115"/>
      <c r="G9" s="115"/>
      <c r="H9" s="116"/>
      <c r="I9" s="201" t="s">
        <v>18</v>
      </c>
      <c r="J9" s="116"/>
      <c r="K9" s="201" t="s">
        <v>19</v>
      </c>
      <c r="L9" s="182"/>
      <c r="M9" s="203" t="s">
        <v>20</v>
      </c>
      <c r="N9" s="178" t="s">
        <v>21</v>
      </c>
      <c r="O9" s="163"/>
      <c r="P9" s="163"/>
      <c r="Q9" s="179"/>
      <c r="R9" s="180">
        <f>'INPUT DATA'!F27</f>
        <v>0</v>
      </c>
      <c r="S9" s="163"/>
      <c r="T9" s="163"/>
      <c r="U9" s="163"/>
      <c r="V9" s="163"/>
      <c r="W9" s="163"/>
      <c r="X9" s="163"/>
      <c r="Y9" s="163"/>
      <c r="Z9" s="163"/>
      <c r="AA9" s="163"/>
      <c r="AB9" s="163"/>
      <c r="AC9" s="163"/>
      <c r="AD9" s="154"/>
      <c r="AE9" s="181" t="s">
        <v>22</v>
      </c>
      <c r="AF9" s="115"/>
      <c r="AG9" s="182"/>
      <c r="AH9" s="183">
        <f>'INPUT DATA'!F26</f>
        <v>0</v>
      </c>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6"/>
    </row>
    <row r="10" spans="1:73" ht="15.75" customHeight="1" x14ac:dyDescent="0.15">
      <c r="A10" s="2"/>
      <c r="B10" s="140"/>
      <c r="C10" s="109"/>
      <c r="D10" s="109"/>
      <c r="E10" s="109"/>
      <c r="F10" s="109"/>
      <c r="G10" s="109"/>
      <c r="H10" s="142"/>
      <c r="I10" s="140"/>
      <c r="J10" s="142"/>
      <c r="K10" s="140"/>
      <c r="L10" s="138"/>
      <c r="M10" s="204"/>
      <c r="N10" s="184" t="s">
        <v>24</v>
      </c>
      <c r="O10" s="137"/>
      <c r="P10" s="137"/>
      <c r="Q10" s="132"/>
      <c r="R10" s="185">
        <f>'INPUT DATA'!F28</f>
        <v>0</v>
      </c>
      <c r="S10" s="156"/>
      <c r="T10" s="156"/>
      <c r="U10" s="156"/>
      <c r="V10" s="156"/>
      <c r="W10" s="156"/>
      <c r="X10" s="156"/>
      <c r="Y10" s="156"/>
      <c r="Z10" s="156"/>
      <c r="AA10" s="156"/>
      <c r="AB10" s="156"/>
      <c r="AC10" s="156"/>
      <c r="AD10" s="157"/>
      <c r="AE10" s="136"/>
      <c r="AF10" s="136"/>
      <c r="AG10" s="134"/>
      <c r="AH10" s="141"/>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3"/>
    </row>
    <row r="11" spans="1:73" ht="34.5" customHeight="1" x14ac:dyDescent="0.15">
      <c r="A11" s="5"/>
      <c r="B11" s="141"/>
      <c r="C11" s="144"/>
      <c r="D11" s="144"/>
      <c r="E11" s="144"/>
      <c r="F11" s="144"/>
      <c r="G11" s="144"/>
      <c r="H11" s="143"/>
      <c r="I11" s="141"/>
      <c r="J11" s="143"/>
      <c r="K11" s="141"/>
      <c r="L11" s="202"/>
      <c r="M11" s="204"/>
      <c r="N11" s="167" t="s">
        <v>25</v>
      </c>
      <c r="O11" s="168"/>
      <c r="P11" s="168"/>
      <c r="Q11" s="168"/>
      <c r="R11" s="169"/>
      <c r="S11" s="167" t="s">
        <v>26</v>
      </c>
      <c r="T11" s="168"/>
      <c r="U11" s="168"/>
      <c r="V11" s="168"/>
      <c r="W11" s="168"/>
      <c r="X11" s="168"/>
      <c r="Y11" s="169"/>
      <c r="Z11" s="170" t="s">
        <v>27</v>
      </c>
      <c r="AA11" s="115"/>
      <c r="AB11" s="115"/>
      <c r="AC11" s="115"/>
      <c r="AD11" s="115"/>
      <c r="AE11" s="115"/>
      <c r="AF11" s="115"/>
      <c r="AG11" s="115"/>
      <c r="AH11" s="115"/>
      <c r="AI11" s="115"/>
      <c r="AJ11" s="115"/>
      <c r="AK11" s="115"/>
      <c r="AL11" s="115"/>
      <c r="AM11" s="115"/>
      <c r="AN11" s="115"/>
      <c r="AO11" s="115"/>
      <c r="AP11" s="115"/>
      <c r="AQ11" s="115"/>
      <c r="AR11" s="115"/>
      <c r="AS11" s="116"/>
      <c r="AT11" s="170" t="s">
        <v>29</v>
      </c>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6"/>
    </row>
    <row r="12" spans="1:73" ht="34.5" customHeight="1" x14ac:dyDescent="0.15">
      <c r="A12" s="5"/>
      <c r="B12" s="201" t="s">
        <v>30</v>
      </c>
      <c r="C12" s="115"/>
      <c r="D12" s="115"/>
      <c r="E12" s="116"/>
      <c r="F12" s="201" t="s">
        <v>8</v>
      </c>
      <c r="G12" s="116"/>
      <c r="H12" s="203" t="s">
        <v>31</v>
      </c>
      <c r="I12" s="203" t="s">
        <v>32</v>
      </c>
      <c r="J12" s="203" t="s">
        <v>33</v>
      </c>
      <c r="K12" s="203" t="s">
        <v>32</v>
      </c>
      <c r="L12" s="190" t="s">
        <v>33</v>
      </c>
      <c r="M12" s="204"/>
      <c r="N12" s="191">
        <v>1</v>
      </c>
      <c r="O12" s="164">
        <v>2</v>
      </c>
      <c r="P12" s="164">
        <v>3</v>
      </c>
      <c r="Q12" s="164">
        <v>4</v>
      </c>
      <c r="R12" s="164">
        <v>5</v>
      </c>
      <c r="S12" s="164">
        <v>1</v>
      </c>
      <c r="T12" s="164">
        <v>2</v>
      </c>
      <c r="U12" s="164">
        <v>3</v>
      </c>
      <c r="V12" s="164">
        <v>4</v>
      </c>
      <c r="W12" s="164">
        <v>5</v>
      </c>
      <c r="X12" s="164">
        <v>6</v>
      </c>
      <c r="Y12" s="194">
        <v>7</v>
      </c>
      <c r="Z12" s="191">
        <v>1</v>
      </c>
      <c r="AA12" s="164">
        <v>2</v>
      </c>
      <c r="AB12" s="164">
        <v>3</v>
      </c>
      <c r="AC12" s="164">
        <v>4</v>
      </c>
      <c r="AD12" s="164">
        <v>5</v>
      </c>
      <c r="AE12" s="164">
        <v>6</v>
      </c>
      <c r="AF12" s="164">
        <v>7</v>
      </c>
      <c r="AG12" s="164">
        <v>8</v>
      </c>
      <c r="AH12" s="164">
        <v>9</v>
      </c>
      <c r="AI12" s="164">
        <v>10</v>
      </c>
      <c r="AJ12" s="164">
        <v>11</v>
      </c>
      <c r="AK12" s="164">
        <v>12</v>
      </c>
      <c r="AL12" s="164">
        <v>13</v>
      </c>
      <c r="AM12" s="164">
        <v>14</v>
      </c>
      <c r="AN12" s="164">
        <v>15</v>
      </c>
      <c r="AO12" s="164">
        <v>16</v>
      </c>
      <c r="AP12" s="164">
        <v>17</v>
      </c>
      <c r="AQ12" s="164">
        <v>18</v>
      </c>
      <c r="AR12" s="164">
        <v>19</v>
      </c>
      <c r="AS12" s="197">
        <v>20</v>
      </c>
      <c r="AT12" s="171" t="s">
        <v>36</v>
      </c>
      <c r="AU12" s="139"/>
      <c r="AV12" s="139"/>
      <c r="AW12" s="122"/>
      <c r="AX12" s="172" t="s">
        <v>37</v>
      </c>
      <c r="AY12" s="122"/>
      <c r="AZ12" s="172" t="s">
        <v>38</v>
      </c>
      <c r="BA12" s="139"/>
      <c r="BB12" s="139"/>
      <c r="BC12" s="139"/>
      <c r="BD12" s="139"/>
      <c r="BE12" s="122"/>
      <c r="BF12" s="172" t="s">
        <v>39</v>
      </c>
      <c r="BG12" s="139"/>
      <c r="BH12" s="139"/>
      <c r="BI12" s="139"/>
      <c r="BJ12" s="139"/>
      <c r="BK12" s="122"/>
      <c r="BL12" s="172" t="s">
        <v>40</v>
      </c>
      <c r="BM12" s="122"/>
      <c r="BN12" s="172" t="s">
        <v>41</v>
      </c>
      <c r="BO12" s="139"/>
      <c r="BP12" s="122"/>
      <c r="BQ12" s="172" t="s">
        <v>42</v>
      </c>
      <c r="BR12" s="139"/>
      <c r="BS12" s="139"/>
      <c r="BT12" s="139"/>
      <c r="BU12" s="146"/>
    </row>
    <row r="13" spans="1:73" ht="51" customHeight="1" x14ac:dyDescent="0.15">
      <c r="A13" s="5"/>
      <c r="B13" s="140"/>
      <c r="C13" s="109"/>
      <c r="D13" s="109"/>
      <c r="E13" s="142"/>
      <c r="F13" s="140"/>
      <c r="G13" s="142"/>
      <c r="H13" s="204"/>
      <c r="I13" s="204"/>
      <c r="J13" s="204"/>
      <c r="K13" s="204"/>
      <c r="L13" s="142"/>
      <c r="M13" s="204"/>
      <c r="N13" s="135"/>
      <c r="O13" s="165"/>
      <c r="P13" s="165"/>
      <c r="Q13" s="165"/>
      <c r="R13" s="165"/>
      <c r="S13" s="165"/>
      <c r="T13" s="165"/>
      <c r="U13" s="165"/>
      <c r="V13" s="165"/>
      <c r="W13" s="165"/>
      <c r="X13" s="165"/>
      <c r="Y13" s="195"/>
      <c r="Z13" s="135"/>
      <c r="AA13" s="165"/>
      <c r="AB13" s="165"/>
      <c r="AC13" s="165"/>
      <c r="AD13" s="165"/>
      <c r="AE13" s="165"/>
      <c r="AF13" s="165"/>
      <c r="AG13" s="165"/>
      <c r="AH13" s="165"/>
      <c r="AI13" s="165"/>
      <c r="AJ13" s="165"/>
      <c r="AK13" s="165"/>
      <c r="AL13" s="165"/>
      <c r="AM13" s="165"/>
      <c r="AN13" s="165"/>
      <c r="AO13" s="165"/>
      <c r="AP13" s="165"/>
      <c r="AQ13" s="165"/>
      <c r="AR13" s="165"/>
      <c r="AS13" s="198"/>
      <c r="AT13" s="199">
        <v>1</v>
      </c>
      <c r="AU13" s="175">
        <v>2</v>
      </c>
      <c r="AV13" s="175">
        <v>3</v>
      </c>
      <c r="AW13" s="175">
        <v>4</v>
      </c>
      <c r="AX13" s="175">
        <v>5</v>
      </c>
      <c r="AY13" s="175">
        <v>6</v>
      </c>
      <c r="AZ13" s="175">
        <v>7</v>
      </c>
      <c r="BA13" s="175">
        <v>8</v>
      </c>
      <c r="BB13" s="175">
        <v>9</v>
      </c>
      <c r="BC13" s="175">
        <v>10</v>
      </c>
      <c r="BD13" s="175">
        <v>11</v>
      </c>
      <c r="BE13" s="175">
        <v>12</v>
      </c>
      <c r="BF13" s="48" t="s">
        <v>44</v>
      </c>
      <c r="BG13" s="173" t="s">
        <v>45</v>
      </c>
      <c r="BH13" s="174"/>
      <c r="BI13" s="48"/>
      <c r="BJ13" s="173" t="s">
        <v>46</v>
      </c>
      <c r="BK13" s="174"/>
      <c r="BL13" s="175">
        <v>19</v>
      </c>
      <c r="BM13" s="175">
        <v>20</v>
      </c>
      <c r="BN13" s="175">
        <v>21</v>
      </c>
      <c r="BO13" s="175">
        <v>22</v>
      </c>
      <c r="BP13" s="175">
        <v>23</v>
      </c>
      <c r="BQ13" s="175">
        <v>24</v>
      </c>
      <c r="BR13" s="175">
        <v>25</v>
      </c>
      <c r="BS13" s="175">
        <v>26</v>
      </c>
      <c r="BT13" s="175">
        <v>27</v>
      </c>
      <c r="BU13" s="176">
        <v>28</v>
      </c>
    </row>
    <row r="14" spans="1:73" ht="15.75" customHeight="1" x14ac:dyDescent="0.15">
      <c r="A14" s="5"/>
      <c r="B14" s="141"/>
      <c r="C14" s="144"/>
      <c r="D14" s="144"/>
      <c r="E14" s="143"/>
      <c r="F14" s="141"/>
      <c r="G14" s="143"/>
      <c r="H14" s="205"/>
      <c r="I14" s="205"/>
      <c r="J14" s="205"/>
      <c r="K14" s="205"/>
      <c r="L14" s="143"/>
      <c r="M14" s="205"/>
      <c r="N14" s="192"/>
      <c r="O14" s="166"/>
      <c r="P14" s="166"/>
      <c r="Q14" s="166"/>
      <c r="R14" s="166"/>
      <c r="S14" s="166"/>
      <c r="T14" s="166"/>
      <c r="U14" s="166"/>
      <c r="V14" s="166"/>
      <c r="W14" s="166"/>
      <c r="X14" s="166"/>
      <c r="Y14" s="196"/>
      <c r="Z14" s="192"/>
      <c r="AA14" s="166"/>
      <c r="AB14" s="166"/>
      <c r="AC14" s="166"/>
      <c r="AD14" s="166"/>
      <c r="AE14" s="166"/>
      <c r="AF14" s="166"/>
      <c r="AG14" s="166"/>
      <c r="AH14" s="166"/>
      <c r="AI14" s="166"/>
      <c r="AJ14" s="166"/>
      <c r="AK14" s="166"/>
      <c r="AL14" s="166"/>
      <c r="AM14" s="166"/>
      <c r="AN14" s="166"/>
      <c r="AO14" s="166"/>
      <c r="AP14" s="166"/>
      <c r="AQ14" s="166"/>
      <c r="AR14" s="166"/>
      <c r="AS14" s="177"/>
      <c r="AT14" s="200"/>
      <c r="AU14" s="166"/>
      <c r="AV14" s="166"/>
      <c r="AW14" s="166"/>
      <c r="AX14" s="166"/>
      <c r="AY14" s="166"/>
      <c r="AZ14" s="166"/>
      <c r="BA14" s="166"/>
      <c r="BB14" s="166"/>
      <c r="BC14" s="166"/>
      <c r="BD14" s="166"/>
      <c r="BE14" s="166"/>
      <c r="BF14" s="52">
        <v>13</v>
      </c>
      <c r="BG14" s="52">
        <v>14</v>
      </c>
      <c r="BH14" s="52">
        <v>15</v>
      </c>
      <c r="BI14" s="52">
        <v>16</v>
      </c>
      <c r="BJ14" s="52">
        <v>17</v>
      </c>
      <c r="BK14" s="52">
        <v>18</v>
      </c>
      <c r="BL14" s="166"/>
      <c r="BM14" s="166"/>
      <c r="BN14" s="166"/>
      <c r="BO14" s="166"/>
      <c r="BP14" s="166"/>
      <c r="BQ14" s="166"/>
      <c r="BR14" s="166"/>
      <c r="BS14" s="166"/>
      <c r="BT14" s="166"/>
      <c r="BU14" s="177"/>
    </row>
    <row r="15" spans="1:73" ht="15.75" customHeight="1" x14ac:dyDescent="0.15">
      <c r="A15" s="7"/>
      <c r="B15" s="193" t="s">
        <v>7</v>
      </c>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9"/>
    </row>
    <row r="16" spans="1:73" ht="15.75" customHeight="1" x14ac:dyDescent="0.15">
      <c r="A16" s="7"/>
      <c r="B16" s="53">
        <v>1</v>
      </c>
      <c r="C16" s="151" t="str">
        <f>IF('INPUT DATA'!L11="","",'INPUT DATA'!L11)</f>
        <v/>
      </c>
      <c r="D16" s="152"/>
      <c r="E16" s="150"/>
      <c r="F16" s="153" t="str">
        <f>IF('INPUT DATA'!M11="","",'INPUT DATA'!M11)</f>
        <v/>
      </c>
      <c r="G16" s="154"/>
      <c r="H16" s="54" t="str">
        <f>IF('INPUT DATA'!N11="","",'INPUT DATA'!N11)</f>
        <v/>
      </c>
      <c r="I16" s="81" t="str">
        <f t="shared" ref="I16:I64" si="0">IF(H16="","",DATEDIF(H16,DATE(2026,6,8),"Y"))</f>
        <v/>
      </c>
      <c r="J16" s="81" t="str">
        <f t="shared" ref="J16:J64" si="1">IF(H16="","",DATEDIF(H16,DATE(2026,6,8),"YM"))</f>
        <v/>
      </c>
      <c r="K16" s="81" t="str">
        <f t="shared" ref="K16:K64" si="2">IF(H16="","",DATEDIF(H16,DATE(2027,4,8),"Y"))</f>
        <v/>
      </c>
      <c r="L16" s="81" t="str">
        <f t="shared" ref="L16:L64" si="3">IF(H16="","",DATEDIF(H16,DATE(2027,4,8),"YM"))</f>
        <v/>
      </c>
      <c r="M16" s="72" t="s">
        <v>47</v>
      </c>
      <c r="N16" s="59"/>
      <c r="O16" s="60"/>
      <c r="P16" s="60"/>
      <c r="Q16" s="60"/>
      <c r="R16" s="60"/>
      <c r="S16" s="60"/>
      <c r="T16" s="60"/>
      <c r="U16" s="60"/>
      <c r="V16" s="60"/>
      <c r="W16" s="60"/>
      <c r="X16" s="60"/>
      <c r="Y16" s="61"/>
      <c r="Z16" s="59"/>
      <c r="AA16" s="60"/>
      <c r="AB16" s="60"/>
      <c r="AC16" s="60"/>
      <c r="AD16" s="60"/>
      <c r="AE16" s="60"/>
      <c r="AF16" s="60"/>
      <c r="AG16" s="60"/>
      <c r="AH16" s="60"/>
      <c r="AI16" s="60"/>
      <c r="AJ16" s="60"/>
      <c r="AK16" s="60"/>
      <c r="AL16" s="60"/>
      <c r="AM16" s="60"/>
      <c r="AN16" s="60"/>
      <c r="AO16" s="60"/>
      <c r="AP16" s="60"/>
      <c r="AQ16" s="60"/>
      <c r="AR16" s="60"/>
      <c r="AS16" s="61"/>
      <c r="AT16" s="59"/>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1"/>
    </row>
    <row r="17" spans="1:73" ht="15.75" customHeight="1" x14ac:dyDescent="0.15">
      <c r="A17" s="7"/>
      <c r="B17" s="62">
        <v>2</v>
      </c>
      <c r="C17" s="148" t="str">
        <f>IF('INPUT DATA'!L12="","",'INPUT DATA'!L12)</f>
        <v/>
      </c>
      <c r="D17" s="139"/>
      <c r="E17" s="146"/>
      <c r="F17" s="149" t="str">
        <f>IF('INPUT DATA'!M12="","",'INPUT DATA'!M12)</f>
        <v/>
      </c>
      <c r="G17" s="150"/>
      <c r="H17" s="63" t="str">
        <f>IF('INPUT DATA'!N12="","",'INPUT DATA'!N12)</f>
        <v/>
      </c>
      <c r="I17" s="71" t="str">
        <f t="shared" si="0"/>
        <v/>
      </c>
      <c r="J17" s="71" t="str">
        <f t="shared" si="1"/>
        <v/>
      </c>
      <c r="K17" s="71" t="str">
        <f t="shared" si="2"/>
        <v/>
      </c>
      <c r="L17" s="71" t="str">
        <f t="shared" si="3"/>
        <v/>
      </c>
      <c r="M17" s="78" t="s">
        <v>47</v>
      </c>
      <c r="N17" s="68"/>
      <c r="O17" s="69"/>
      <c r="P17" s="69"/>
      <c r="Q17" s="69"/>
      <c r="R17" s="69"/>
      <c r="S17" s="69"/>
      <c r="T17" s="69"/>
      <c r="U17" s="69"/>
      <c r="V17" s="69"/>
      <c r="W17" s="69"/>
      <c r="X17" s="69"/>
      <c r="Y17" s="70"/>
      <c r="Z17" s="68"/>
      <c r="AA17" s="69"/>
      <c r="AB17" s="69"/>
      <c r="AC17" s="69"/>
      <c r="AD17" s="69"/>
      <c r="AE17" s="69"/>
      <c r="AF17" s="69"/>
      <c r="AG17" s="69"/>
      <c r="AH17" s="69"/>
      <c r="AI17" s="69"/>
      <c r="AJ17" s="69"/>
      <c r="AK17" s="69"/>
      <c r="AL17" s="69"/>
      <c r="AM17" s="69"/>
      <c r="AN17" s="69"/>
      <c r="AO17" s="69"/>
      <c r="AP17" s="69"/>
      <c r="AQ17" s="69"/>
      <c r="AR17" s="69"/>
      <c r="AS17" s="70"/>
      <c r="AT17" s="68"/>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70"/>
    </row>
    <row r="18" spans="1:73" ht="15.75" customHeight="1" x14ac:dyDescent="0.15">
      <c r="A18" s="7"/>
      <c r="B18" s="62">
        <v>3</v>
      </c>
      <c r="C18" s="148" t="str">
        <f>IF('INPUT DATA'!L13="","",'INPUT DATA'!L13)</f>
        <v/>
      </c>
      <c r="D18" s="139"/>
      <c r="E18" s="146"/>
      <c r="F18" s="149" t="str">
        <f>IF('INPUT DATA'!M13="","",'INPUT DATA'!M13)</f>
        <v/>
      </c>
      <c r="G18" s="150"/>
      <c r="H18" s="63" t="str">
        <f>IF('INPUT DATA'!N13="","",'INPUT DATA'!N13)</f>
        <v/>
      </c>
      <c r="I18" s="71" t="str">
        <f t="shared" si="0"/>
        <v/>
      </c>
      <c r="J18" s="71" t="str">
        <f t="shared" si="1"/>
        <v/>
      </c>
      <c r="K18" s="71" t="str">
        <f t="shared" si="2"/>
        <v/>
      </c>
      <c r="L18" s="71" t="str">
        <f t="shared" si="3"/>
        <v/>
      </c>
      <c r="M18" s="78" t="s">
        <v>47</v>
      </c>
      <c r="N18" s="73"/>
      <c r="O18" s="74"/>
      <c r="P18" s="74"/>
      <c r="Q18" s="74"/>
      <c r="R18" s="74"/>
      <c r="S18" s="74"/>
      <c r="T18" s="74"/>
      <c r="U18" s="74"/>
      <c r="V18" s="74"/>
      <c r="W18" s="74"/>
      <c r="X18" s="74"/>
      <c r="Y18" s="75"/>
      <c r="Z18" s="73"/>
      <c r="AA18" s="74"/>
      <c r="AB18" s="74"/>
      <c r="AC18" s="74"/>
      <c r="AD18" s="74"/>
      <c r="AE18" s="74"/>
      <c r="AF18" s="74"/>
      <c r="AG18" s="74"/>
      <c r="AH18" s="74"/>
      <c r="AI18" s="74"/>
      <c r="AJ18" s="74"/>
      <c r="AK18" s="74"/>
      <c r="AL18" s="74"/>
      <c r="AM18" s="74"/>
      <c r="AN18" s="74"/>
      <c r="AO18" s="74"/>
      <c r="AP18" s="74"/>
      <c r="AQ18" s="74"/>
      <c r="AR18" s="74"/>
      <c r="AS18" s="75"/>
      <c r="AT18" s="73"/>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5"/>
    </row>
    <row r="19" spans="1:73" ht="15.75" customHeight="1" x14ac:dyDescent="0.15">
      <c r="A19" s="7"/>
      <c r="B19" s="76">
        <v>4</v>
      </c>
      <c r="C19" s="148" t="str">
        <f>IF('INPUT DATA'!L14="","",'INPUT DATA'!L14)</f>
        <v/>
      </c>
      <c r="D19" s="139"/>
      <c r="E19" s="146"/>
      <c r="F19" s="149" t="str">
        <f>IF('INPUT DATA'!M14="","",'INPUT DATA'!M14)</f>
        <v/>
      </c>
      <c r="G19" s="150"/>
      <c r="H19" s="63" t="str">
        <f>IF('INPUT DATA'!N14="","",'INPUT DATA'!N14)</f>
        <v/>
      </c>
      <c r="I19" s="71" t="str">
        <f t="shared" si="0"/>
        <v/>
      </c>
      <c r="J19" s="71" t="str">
        <f t="shared" si="1"/>
        <v/>
      </c>
      <c r="K19" s="71" t="str">
        <f t="shared" si="2"/>
        <v/>
      </c>
      <c r="L19" s="71" t="str">
        <f t="shared" si="3"/>
        <v/>
      </c>
      <c r="M19" s="80" t="s">
        <v>47</v>
      </c>
      <c r="N19" s="73"/>
      <c r="O19" s="74"/>
      <c r="P19" s="74"/>
      <c r="Q19" s="74"/>
      <c r="R19" s="74"/>
      <c r="S19" s="74"/>
      <c r="T19" s="74"/>
      <c r="U19" s="74"/>
      <c r="V19" s="74"/>
      <c r="W19" s="74"/>
      <c r="X19" s="74"/>
      <c r="Y19" s="75"/>
      <c r="Z19" s="73"/>
      <c r="AA19" s="74"/>
      <c r="AB19" s="74"/>
      <c r="AC19" s="74"/>
      <c r="AD19" s="74"/>
      <c r="AE19" s="74"/>
      <c r="AF19" s="74"/>
      <c r="AG19" s="74"/>
      <c r="AH19" s="74"/>
      <c r="AI19" s="74"/>
      <c r="AJ19" s="74"/>
      <c r="AK19" s="74"/>
      <c r="AL19" s="74"/>
      <c r="AM19" s="74"/>
      <c r="AN19" s="74"/>
      <c r="AO19" s="74"/>
      <c r="AP19" s="74"/>
      <c r="AQ19" s="74"/>
      <c r="AR19" s="74"/>
      <c r="AS19" s="75"/>
      <c r="AT19" s="73"/>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5"/>
    </row>
    <row r="20" spans="1:73" ht="15.75" customHeight="1" x14ac:dyDescent="0.15">
      <c r="A20" s="7"/>
      <c r="B20" s="76">
        <v>5</v>
      </c>
      <c r="C20" s="148" t="str">
        <f>IF('INPUT DATA'!L15="","",'INPUT DATA'!L15)</f>
        <v/>
      </c>
      <c r="D20" s="139"/>
      <c r="E20" s="146"/>
      <c r="F20" s="149" t="str">
        <f>IF('INPUT DATA'!M15="","",'INPUT DATA'!M15)</f>
        <v/>
      </c>
      <c r="G20" s="150"/>
      <c r="H20" s="63" t="str">
        <f>IF('INPUT DATA'!N15="","",'INPUT DATA'!N15)</f>
        <v/>
      </c>
      <c r="I20" s="71" t="str">
        <f t="shared" si="0"/>
        <v/>
      </c>
      <c r="J20" s="71" t="str">
        <f t="shared" si="1"/>
        <v/>
      </c>
      <c r="K20" s="71" t="str">
        <f t="shared" si="2"/>
        <v/>
      </c>
      <c r="L20" s="71" t="str">
        <f t="shared" si="3"/>
        <v/>
      </c>
      <c r="M20" s="80" t="s">
        <v>47</v>
      </c>
      <c r="N20" s="73"/>
      <c r="O20" s="74"/>
      <c r="P20" s="74"/>
      <c r="Q20" s="74"/>
      <c r="R20" s="74"/>
      <c r="S20" s="74"/>
      <c r="T20" s="74"/>
      <c r="U20" s="74"/>
      <c r="V20" s="74"/>
      <c r="W20" s="74"/>
      <c r="X20" s="74"/>
      <c r="Y20" s="75"/>
      <c r="Z20" s="73"/>
      <c r="AA20" s="74"/>
      <c r="AB20" s="74"/>
      <c r="AC20" s="74"/>
      <c r="AD20" s="74"/>
      <c r="AE20" s="74"/>
      <c r="AF20" s="74"/>
      <c r="AG20" s="74"/>
      <c r="AH20" s="74"/>
      <c r="AI20" s="74"/>
      <c r="AJ20" s="74"/>
      <c r="AK20" s="74"/>
      <c r="AL20" s="74"/>
      <c r="AM20" s="74"/>
      <c r="AN20" s="74"/>
      <c r="AO20" s="74"/>
      <c r="AP20" s="74"/>
      <c r="AQ20" s="74"/>
      <c r="AR20" s="74"/>
      <c r="AS20" s="75"/>
      <c r="AT20" s="73"/>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5"/>
    </row>
    <row r="21" spans="1:73" ht="15.75" customHeight="1" x14ac:dyDescent="0.15">
      <c r="A21" s="7"/>
      <c r="B21" s="76">
        <v>6</v>
      </c>
      <c r="C21" s="148" t="str">
        <f>IF('INPUT DATA'!L16="","",'INPUT DATA'!L16)</f>
        <v/>
      </c>
      <c r="D21" s="139"/>
      <c r="E21" s="146"/>
      <c r="F21" s="149" t="str">
        <f>IF('INPUT DATA'!M16="","",'INPUT DATA'!M16)</f>
        <v/>
      </c>
      <c r="G21" s="150"/>
      <c r="H21" s="63" t="str">
        <f>IF('INPUT DATA'!N16="","",'INPUT DATA'!N16)</f>
        <v/>
      </c>
      <c r="I21" s="71" t="str">
        <f t="shared" si="0"/>
        <v/>
      </c>
      <c r="J21" s="71" t="str">
        <f t="shared" si="1"/>
        <v/>
      </c>
      <c r="K21" s="71" t="str">
        <f t="shared" si="2"/>
        <v/>
      </c>
      <c r="L21" s="71" t="str">
        <f t="shared" si="3"/>
        <v/>
      </c>
      <c r="M21" s="80" t="s">
        <v>47</v>
      </c>
      <c r="N21" s="73"/>
      <c r="O21" s="74"/>
      <c r="P21" s="74"/>
      <c r="Q21" s="74"/>
      <c r="R21" s="74"/>
      <c r="S21" s="74"/>
      <c r="T21" s="74"/>
      <c r="U21" s="74"/>
      <c r="V21" s="74"/>
      <c r="W21" s="74"/>
      <c r="X21" s="74"/>
      <c r="Y21" s="75"/>
      <c r="Z21" s="73"/>
      <c r="AA21" s="74"/>
      <c r="AB21" s="74"/>
      <c r="AC21" s="74"/>
      <c r="AD21" s="74"/>
      <c r="AE21" s="74"/>
      <c r="AF21" s="74"/>
      <c r="AG21" s="74"/>
      <c r="AH21" s="74"/>
      <c r="AI21" s="74"/>
      <c r="AJ21" s="74"/>
      <c r="AK21" s="74"/>
      <c r="AL21" s="74"/>
      <c r="AM21" s="74"/>
      <c r="AN21" s="74"/>
      <c r="AO21" s="74"/>
      <c r="AP21" s="74"/>
      <c r="AQ21" s="74"/>
      <c r="AR21" s="74"/>
      <c r="AS21" s="75"/>
      <c r="AT21" s="73"/>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5"/>
    </row>
    <row r="22" spans="1:73" ht="15.75" customHeight="1" x14ac:dyDescent="0.15">
      <c r="A22" s="7"/>
      <c r="B22" s="76">
        <v>7</v>
      </c>
      <c r="C22" s="148" t="str">
        <f>IF('INPUT DATA'!L17="","",'INPUT DATA'!L17)</f>
        <v/>
      </c>
      <c r="D22" s="139"/>
      <c r="E22" s="146"/>
      <c r="F22" s="149" t="str">
        <f>IF('INPUT DATA'!M17="","",'INPUT DATA'!M17)</f>
        <v/>
      </c>
      <c r="G22" s="150"/>
      <c r="H22" s="63" t="str">
        <f>IF('INPUT DATA'!N17="","",'INPUT DATA'!N17)</f>
        <v/>
      </c>
      <c r="I22" s="71" t="str">
        <f t="shared" si="0"/>
        <v/>
      </c>
      <c r="J22" s="71" t="str">
        <f t="shared" si="1"/>
        <v/>
      </c>
      <c r="K22" s="71" t="str">
        <f t="shared" si="2"/>
        <v/>
      </c>
      <c r="L22" s="71" t="str">
        <f t="shared" si="3"/>
        <v/>
      </c>
      <c r="M22" s="80" t="s">
        <v>47</v>
      </c>
      <c r="N22" s="73"/>
      <c r="O22" s="74"/>
      <c r="P22" s="74"/>
      <c r="Q22" s="74"/>
      <c r="R22" s="74"/>
      <c r="S22" s="74"/>
      <c r="T22" s="74"/>
      <c r="U22" s="74"/>
      <c r="V22" s="74"/>
      <c r="W22" s="74"/>
      <c r="X22" s="74"/>
      <c r="Y22" s="75"/>
      <c r="Z22" s="73"/>
      <c r="AA22" s="74"/>
      <c r="AB22" s="74"/>
      <c r="AC22" s="74"/>
      <c r="AD22" s="74"/>
      <c r="AE22" s="74"/>
      <c r="AF22" s="74"/>
      <c r="AG22" s="74"/>
      <c r="AH22" s="74"/>
      <c r="AI22" s="74"/>
      <c r="AJ22" s="74"/>
      <c r="AK22" s="74"/>
      <c r="AL22" s="74"/>
      <c r="AM22" s="74"/>
      <c r="AN22" s="74"/>
      <c r="AO22" s="74"/>
      <c r="AP22" s="74"/>
      <c r="AQ22" s="74"/>
      <c r="AR22" s="74"/>
      <c r="AS22" s="75"/>
      <c r="AT22" s="73"/>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5"/>
    </row>
    <row r="23" spans="1:73" ht="15.75" customHeight="1" x14ac:dyDescent="0.15">
      <c r="A23" s="7"/>
      <c r="B23" s="76">
        <v>8</v>
      </c>
      <c r="C23" s="148" t="str">
        <f>IF('INPUT DATA'!L18="","",'INPUT DATA'!L18)</f>
        <v/>
      </c>
      <c r="D23" s="139"/>
      <c r="E23" s="146"/>
      <c r="F23" s="149" t="str">
        <f>IF('INPUT DATA'!M18="","",'INPUT DATA'!M18)</f>
        <v/>
      </c>
      <c r="G23" s="150"/>
      <c r="H23" s="63" t="str">
        <f>IF('INPUT DATA'!N18="","",'INPUT DATA'!N18)</f>
        <v/>
      </c>
      <c r="I23" s="71" t="str">
        <f t="shared" si="0"/>
        <v/>
      </c>
      <c r="J23" s="71" t="str">
        <f t="shared" si="1"/>
        <v/>
      </c>
      <c r="K23" s="71" t="str">
        <f t="shared" si="2"/>
        <v/>
      </c>
      <c r="L23" s="71" t="str">
        <f t="shared" si="3"/>
        <v/>
      </c>
      <c r="M23" s="80" t="s">
        <v>47</v>
      </c>
      <c r="N23" s="73"/>
      <c r="O23" s="74"/>
      <c r="P23" s="74"/>
      <c r="Q23" s="74"/>
      <c r="R23" s="74"/>
      <c r="S23" s="74"/>
      <c r="T23" s="74"/>
      <c r="U23" s="74"/>
      <c r="V23" s="74"/>
      <c r="W23" s="74"/>
      <c r="X23" s="74"/>
      <c r="Y23" s="75"/>
      <c r="Z23" s="73"/>
      <c r="AA23" s="74"/>
      <c r="AB23" s="74"/>
      <c r="AC23" s="74"/>
      <c r="AD23" s="74"/>
      <c r="AE23" s="74"/>
      <c r="AF23" s="74"/>
      <c r="AG23" s="74"/>
      <c r="AH23" s="74"/>
      <c r="AI23" s="74"/>
      <c r="AJ23" s="74"/>
      <c r="AK23" s="74"/>
      <c r="AL23" s="74"/>
      <c r="AM23" s="74"/>
      <c r="AN23" s="74"/>
      <c r="AO23" s="74"/>
      <c r="AP23" s="74"/>
      <c r="AQ23" s="74"/>
      <c r="AR23" s="74"/>
      <c r="AS23" s="75"/>
      <c r="AT23" s="73"/>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5"/>
    </row>
    <row r="24" spans="1:73" ht="15.75" customHeight="1" x14ac:dyDescent="0.15">
      <c r="A24" s="7"/>
      <c r="B24" s="76">
        <v>9</v>
      </c>
      <c r="C24" s="148" t="str">
        <f>IF('INPUT DATA'!L19="","",'INPUT DATA'!L19)</f>
        <v/>
      </c>
      <c r="D24" s="139"/>
      <c r="E24" s="146"/>
      <c r="F24" s="149" t="str">
        <f>IF('INPUT DATA'!M19="","",'INPUT DATA'!M19)</f>
        <v/>
      </c>
      <c r="G24" s="150"/>
      <c r="H24" s="63" t="str">
        <f>IF('INPUT DATA'!N19="","",'INPUT DATA'!N19)</f>
        <v/>
      </c>
      <c r="I24" s="71" t="str">
        <f t="shared" si="0"/>
        <v/>
      </c>
      <c r="J24" s="71" t="str">
        <f t="shared" si="1"/>
        <v/>
      </c>
      <c r="K24" s="71" t="str">
        <f t="shared" si="2"/>
        <v/>
      </c>
      <c r="L24" s="71" t="str">
        <f t="shared" si="3"/>
        <v/>
      </c>
      <c r="M24" s="80" t="s">
        <v>47</v>
      </c>
      <c r="N24" s="73"/>
      <c r="O24" s="74"/>
      <c r="P24" s="74"/>
      <c r="Q24" s="74"/>
      <c r="R24" s="74"/>
      <c r="S24" s="74"/>
      <c r="T24" s="74"/>
      <c r="U24" s="74"/>
      <c r="V24" s="74"/>
      <c r="W24" s="74"/>
      <c r="X24" s="74"/>
      <c r="Y24" s="75"/>
      <c r="Z24" s="73"/>
      <c r="AA24" s="74"/>
      <c r="AB24" s="74"/>
      <c r="AC24" s="74"/>
      <c r="AD24" s="74"/>
      <c r="AE24" s="74"/>
      <c r="AF24" s="74"/>
      <c r="AG24" s="74"/>
      <c r="AH24" s="74"/>
      <c r="AI24" s="74"/>
      <c r="AJ24" s="74"/>
      <c r="AK24" s="74"/>
      <c r="AL24" s="74"/>
      <c r="AM24" s="74"/>
      <c r="AN24" s="74"/>
      <c r="AO24" s="74"/>
      <c r="AP24" s="74"/>
      <c r="AQ24" s="74"/>
      <c r="AR24" s="74"/>
      <c r="AS24" s="75"/>
      <c r="AT24" s="73"/>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5"/>
    </row>
    <row r="25" spans="1:73" ht="15.75" customHeight="1" x14ac:dyDescent="0.15">
      <c r="A25" s="7"/>
      <c r="B25" s="76">
        <v>10</v>
      </c>
      <c r="C25" s="148" t="str">
        <f>IF('INPUT DATA'!L20="","",'INPUT DATA'!L20)</f>
        <v/>
      </c>
      <c r="D25" s="139"/>
      <c r="E25" s="146"/>
      <c r="F25" s="149" t="str">
        <f>IF('INPUT DATA'!M20="","",'INPUT DATA'!M20)</f>
        <v/>
      </c>
      <c r="G25" s="150"/>
      <c r="H25" s="63" t="str">
        <f>IF('INPUT DATA'!N20="","",'INPUT DATA'!N20)</f>
        <v/>
      </c>
      <c r="I25" s="71" t="str">
        <f t="shared" si="0"/>
        <v/>
      </c>
      <c r="J25" s="71" t="str">
        <f t="shared" si="1"/>
        <v/>
      </c>
      <c r="K25" s="71" t="str">
        <f t="shared" si="2"/>
        <v/>
      </c>
      <c r="L25" s="71" t="str">
        <f t="shared" si="3"/>
        <v/>
      </c>
      <c r="M25" s="80" t="s">
        <v>47</v>
      </c>
      <c r="N25" s="73"/>
      <c r="O25" s="74"/>
      <c r="P25" s="74"/>
      <c r="Q25" s="74"/>
      <c r="R25" s="74"/>
      <c r="S25" s="74"/>
      <c r="T25" s="74"/>
      <c r="U25" s="74"/>
      <c r="V25" s="74"/>
      <c r="W25" s="74"/>
      <c r="X25" s="74"/>
      <c r="Y25" s="75"/>
      <c r="Z25" s="73"/>
      <c r="AA25" s="74"/>
      <c r="AB25" s="74"/>
      <c r="AC25" s="74"/>
      <c r="AD25" s="74"/>
      <c r="AE25" s="74"/>
      <c r="AF25" s="74"/>
      <c r="AG25" s="74"/>
      <c r="AH25" s="74"/>
      <c r="AI25" s="74"/>
      <c r="AJ25" s="74"/>
      <c r="AK25" s="74"/>
      <c r="AL25" s="74"/>
      <c r="AM25" s="74"/>
      <c r="AN25" s="74"/>
      <c r="AO25" s="74"/>
      <c r="AP25" s="74"/>
      <c r="AQ25" s="74"/>
      <c r="AR25" s="74"/>
      <c r="AS25" s="75"/>
      <c r="AT25" s="73"/>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5"/>
    </row>
    <row r="26" spans="1:73" ht="15.75" customHeight="1" x14ac:dyDescent="0.15">
      <c r="A26" s="7"/>
      <c r="B26" s="76">
        <v>11</v>
      </c>
      <c r="C26" s="148" t="str">
        <f>IF('INPUT DATA'!L21="","",'INPUT DATA'!L21)</f>
        <v/>
      </c>
      <c r="D26" s="139"/>
      <c r="E26" s="146"/>
      <c r="F26" s="149" t="str">
        <f>IF('INPUT DATA'!M21="","",'INPUT DATA'!M21)</f>
        <v/>
      </c>
      <c r="G26" s="150"/>
      <c r="H26" s="63" t="str">
        <f>IF('INPUT DATA'!N21="","",'INPUT DATA'!N21)</f>
        <v/>
      </c>
      <c r="I26" s="71" t="str">
        <f t="shared" si="0"/>
        <v/>
      </c>
      <c r="J26" s="71" t="str">
        <f t="shared" si="1"/>
        <v/>
      </c>
      <c r="K26" s="71" t="str">
        <f t="shared" si="2"/>
        <v/>
      </c>
      <c r="L26" s="71" t="str">
        <f t="shared" si="3"/>
        <v/>
      </c>
      <c r="M26" s="80" t="s">
        <v>47</v>
      </c>
      <c r="N26" s="73"/>
      <c r="O26" s="74"/>
      <c r="P26" s="74"/>
      <c r="Q26" s="74"/>
      <c r="R26" s="74"/>
      <c r="S26" s="74"/>
      <c r="T26" s="74"/>
      <c r="U26" s="74"/>
      <c r="V26" s="74"/>
      <c r="W26" s="74"/>
      <c r="X26" s="74"/>
      <c r="Y26" s="75"/>
      <c r="Z26" s="73"/>
      <c r="AA26" s="74"/>
      <c r="AB26" s="74"/>
      <c r="AC26" s="74"/>
      <c r="AD26" s="74"/>
      <c r="AE26" s="74"/>
      <c r="AF26" s="74"/>
      <c r="AG26" s="74"/>
      <c r="AH26" s="74"/>
      <c r="AI26" s="74"/>
      <c r="AJ26" s="74"/>
      <c r="AK26" s="74"/>
      <c r="AL26" s="74"/>
      <c r="AM26" s="74"/>
      <c r="AN26" s="74"/>
      <c r="AO26" s="74"/>
      <c r="AP26" s="74"/>
      <c r="AQ26" s="74"/>
      <c r="AR26" s="74"/>
      <c r="AS26" s="75"/>
      <c r="AT26" s="73"/>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5"/>
    </row>
    <row r="27" spans="1:73" ht="15.75" customHeight="1" x14ac:dyDescent="0.15">
      <c r="A27" s="7"/>
      <c r="B27" s="76">
        <v>12</v>
      </c>
      <c r="C27" s="148" t="str">
        <f>IF('INPUT DATA'!L22="","",'INPUT DATA'!L22)</f>
        <v/>
      </c>
      <c r="D27" s="139"/>
      <c r="E27" s="146"/>
      <c r="F27" s="149" t="str">
        <f>IF('INPUT DATA'!M22="","",'INPUT DATA'!M22)</f>
        <v/>
      </c>
      <c r="G27" s="150"/>
      <c r="H27" s="63" t="str">
        <f>IF('INPUT DATA'!N22="","",'INPUT DATA'!N22)</f>
        <v/>
      </c>
      <c r="I27" s="71" t="str">
        <f t="shared" si="0"/>
        <v/>
      </c>
      <c r="J27" s="71" t="str">
        <f t="shared" si="1"/>
        <v/>
      </c>
      <c r="K27" s="71" t="str">
        <f t="shared" si="2"/>
        <v/>
      </c>
      <c r="L27" s="71" t="str">
        <f t="shared" si="3"/>
        <v/>
      </c>
      <c r="M27" s="80" t="s">
        <v>47</v>
      </c>
      <c r="N27" s="73"/>
      <c r="O27" s="74"/>
      <c r="P27" s="74"/>
      <c r="Q27" s="74"/>
      <c r="R27" s="74"/>
      <c r="S27" s="74"/>
      <c r="T27" s="74"/>
      <c r="U27" s="74"/>
      <c r="V27" s="74"/>
      <c r="W27" s="74"/>
      <c r="X27" s="74"/>
      <c r="Y27" s="75"/>
      <c r="Z27" s="73"/>
      <c r="AA27" s="74"/>
      <c r="AB27" s="74"/>
      <c r="AC27" s="74"/>
      <c r="AD27" s="74"/>
      <c r="AE27" s="74"/>
      <c r="AF27" s="74"/>
      <c r="AG27" s="74"/>
      <c r="AH27" s="74"/>
      <c r="AI27" s="74"/>
      <c r="AJ27" s="74"/>
      <c r="AK27" s="74"/>
      <c r="AL27" s="74"/>
      <c r="AM27" s="74"/>
      <c r="AN27" s="74"/>
      <c r="AO27" s="74"/>
      <c r="AP27" s="74"/>
      <c r="AQ27" s="74"/>
      <c r="AR27" s="74"/>
      <c r="AS27" s="75"/>
      <c r="AT27" s="73"/>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5"/>
    </row>
    <row r="28" spans="1:73" ht="15.75" customHeight="1" x14ac:dyDescent="0.15">
      <c r="A28" s="7"/>
      <c r="B28" s="76">
        <v>13</v>
      </c>
      <c r="C28" s="148" t="str">
        <f>IF('INPUT DATA'!L23="","",'INPUT DATA'!L23)</f>
        <v/>
      </c>
      <c r="D28" s="139"/>
      <c r="E28" s="146"/>
      <c r="F28" s="149" t="str">
        <f>IF('INPUT DATA'!M23="","",'INPUT DATA'!M23)</f>
        <v/>
      </c>
      <c r="G28" s="150"/>
      <c r="H28" s="63" t="str">
        <f>IF('INPUT DATA'!N23="","",'INPUT DATA'!N23)</f>
        <v/>
      </c>
      <c r="I28" s="71" t="str">
        <f t="shared" si="0"/>
        <v/>
      </c>
      <c r="J28" s="71" t="str">
        <f t="shared" si="1"/>
        <v/>
      </c>
      <c r="K28" s="71" t="str">
        <f t="shared" si="2"/>
        <v/>
      </c>
      <c r="L28" s="71" t="str">
        <f t="shared" si="3"/>
        <v/>
      </c>
      <c r="M28" s="80" t="s">
        <v>47</v>
      </c>
      <c r="N28" s="73"/>
      <c r="O28" s="74"/>
      <c r="P28" s="74"/>
      <c r="Q28" s="74"/>
      <c r="R28" s="74"/>
      <c r="S28" s="74"/>
      <c r="T28" s="74"/>
      <c r="U28" s="74"/>
      <c r="V28" s="74"/>
      <c r="W28" s="74"/>
      <c r="X28" s="74"/>
      <c r="Y28" s="75"/>
      <c r="Z28" s="73"/>
      <c r="AA28" s="74"/>
      <c r="AB28" s="74"/>
      <c r="AC28" s="74"/>
      <c r="AD28" s="74"/>
      <c r="AE28" s="74"/>
      <c r="AF28" s="74"/>
      <c r="AG28" s="74"/>
      <c r="AH28" s="74"/>
      <c r="AI28" s="74"/>
      <c r="AJ28" s="74"/>
      <c r="AK28" s="74"/>
      <c r="AL28" s="74"/>
      <c r="AM28" s="74"/>
      <c r="AN28" s="74"/>
      <c r="AO28" s="74"/>
      <c r="AP28" s="74"/>
      <c r="AQ28" s="74"/>
      <c r="AR28" s="74"/>
      <c r="AS28" s="75"/>
      <c r="AT28" s="73"/>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5"/>
    </row>
    <row r="29" spans="1:73" ht="15.75" customHeight="1" x14ac:dyDescent="0.15">
      <c r="A29" s="7"/>
      <c r="B29" s="76">
        <v>14</v>
      </c>
      <c r="C29" s="148" t="str">
        <f>IF('INPUT DATA'!L24="","",'INPUT DATA'!L24)</f>
        <v/>
      </c>
      <c r="D29" s="139"/>
      <c r="E29" s="146"/>
      <c r="F29" s="149" t="str">
        <f>IF('INPUT DATA'!M24="","",'INPUT DATA'!M24)</f>
        <v/>
      </c>
      <c r="G29" s="150"/>
      <c r="H29" s="63" t="str">
        <f>IF('INPUT DATA'!N24="","",'INPUT DATA'!N24)</f>
        <v/>
      </c>
      <c r="I29" s="71" t="str">
        <f t="shared" si="0"/>
        <v/>
      </c>
      <c r="J29" s="71" t="str">
        <f t="shared" si="1"/>
        <v/>
      </c>
      <c r="K29" s="71" t="str">
        <f t="shared" si="2"/>
        <v/>
      </c>
      <c r="L29" s="71" t="str">
        <f t="shared" si="3"/>
        <v/>
      </c>
      <c r="M29" s="80" t="s">
        <v>47</v>
      </c>
      <c r="N29" s="73"/>
      <c r="O29" s="74"/>
      <c r="P29" s="74"/>
      <c r="Q29" s="74"/>
      <c r="R29" s="74"/>
      <c r="S29" s="74"/>
      <c r="T29" s="74"/>
      <c r="U29" s="74"/>
      <c r="V29" s="74"/>
      <c r="W29" s="74"/>
      <c r="X29" s="74"/>
      <c r="Y29" s="75"/>
      <c r="Z29" s="73"/>
      <c r="AA29" s="74"/>
      <c r="AB29" s="74"/>
      <c r="AC29" s="74"/>
      <c r="AD29" s="74"/>
      <c r="AE29" s="74"/>
      <c r="AF29" s="74"/>
      <c r="AG29" s="74"/>
      <c r="AH29" s="74"/>
      <c r="AI29" s="74"/>
      <c r="AJ29" s="74"/>
      <c r="AK29" s="74"/>
      <c r="AL29" s="74"/>
      <c r="AM29" s="74"/>
      <c r="AN29" s="74"/>
      <c r="AO29" s="74"/>
      <c r="AP29" s="74"/>
      <c r="AQ29" s="74"/>
      <c r="AR29" s="74"/>
      <c r="AS29" s="75"/>
      <c r="AT29" s="73"/>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5"/>
    </row>
    <row r="30" spans="1:73" ht="15.75" customHeight="1" x14ac:dyDescent="0.15">
      <c r="A30" s="7"/>
      <c r="B30" s="76">
        <v>15</v>
      </c>
      <c r="C30" s="148" t="str">
        <f>IF('INPUT DATA'!L25="","",'INPUT DATA'!L25)</f>
        <v/>
      </c>
      <c r="D30" s="139"/>
      <c r="E30" s="146"/>
      <c r="F30" s="149" t="str">
        <f>IF('INPUT DATA'!M25="","",'INPUT DATA'!M25)</f>
        <v/>
      </c>
      <c r="G30" s="150"/>
      <c r="H30" s="63" t="str">
        <f>IF('INPUT DATA'!N25="","",'INPUT DATA'!N25)</f>
        <v/>
      </c>
      <c r="I30" s="71" t="str">
        <f t="shared" si="0"/>
        <v/>
      </c>
      <c r="J30" s="71" t="str">
        <f t="shared" si="1"/>
        <v/>
      </c>
      <c r="K30" s="71" t="str">
        <f t="shared" si="2"/>
        <v/>
      </c>
      <c r="L30" s="71" t="str">
        <f t="shared" si="3"/>
        <v/>
      </c>
      <c r="M30" s="80" t="s">
        <v>47</v>
      </c>
      <c r="N30" s="73"/>
      <c r="O30" s="74"/>
      <c r="P30" s="74"/>
      <c r="Q30" s="74"/>
      <c r="R30" s="74"/>
      <c r="S30" s="74"/>
      <c r="T30" s="74"/>
      <c r="U30" s="74"/>
      <c r="V30" s="74"/>
      <c r="W30" s="74"/>
      <c r="X30" s="74"/>
      <c r="Y30" s="75"/>
      <c r="Z30" s="73"/>
      <c r="AA30" s="74"/>
      <c r="AB30" s="74"/>
      <c r="AC30" s="74"/>
      <c r="AD30" s="74"/>
      <c r="AE30" s="74"/>
      <c r="AF30" s="74"/>
      <c r="AG30" s="74"/>
      <c r="AH30" s="74"/>
      <c r="AI30" s="74"/>
      <c r="AJ30" s="74"/>
      <c r="AK30" s="74"/>
      <c r="AL30" s="74"/>
      <c r="AM30" s="74"/>
      <c r="AN30" s="74"/>
      <c r="AO30" s="74"/>
      <c r="AP30" s="74"/>
      <c r="AQ30" s="74"/>
      <c r="AR30" s="74"/>
      <c r="AS30" s="75"/>
      <c r="AT30" s="73"/>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5"/>
    </row>
    <row r="31" spans="1:73" ht="15.75" customHeight="1" x14ac:dyDescent="0.15">
      <c r="A31" s="7"/>
      <c r="B31" s="76">
        <v>16</v>
      </c>
      <c r="C31" s="148" t="str">
        <f>IF('INPUT DATA'!L26="","",'INPUT DATA'!L26)</f>
        <v/>
      </c>
      <c r="D31" s="139"/>
      <c r="E31" s="146"/>
      <c r="F31" s="149" t="str">
        <f>IF('INPUT DATA'!M26="","",'INPUT DATA'!M26)</f>
        <v/>
      </c>
      <c r="G31" s="150"/>
      <c r="H31" s="63" t="str">
        <f>IF('INPUT DATA'!N26="","",'INPUT DATA'!N26)</f>
        <v/>
      </c>
      <c r="I31" s="71" t="str">
        <f t="shared" si="0"/>
        <v/>
      </c>
      <c r="J31" s="71" t="str">
        <f t="shared" si="1"/>
        <v/>
      </c>
      <c r="K31" s="71" t="str">
        <f t="shared" si="2"/>
        <v/>
      </c>
      <c r="L31" s="71" t="str">
        <f t="shared" si="3"/>
        <v/>
      </c>
      <c r="M31" s="80" t="s">
        <v>47</v>
      </c>
      <c r="N31" s="73"/>
      <c r="O31" s="74"/>
      <c r="P31" s="74"/>
      <c r="Q31" s="74"/>
      <c r="R31" s="74"/>
      <c r="S31" s="74"/>
      <c r="T31" s="74"/>
      <c r="U31" s="74"/>
      <c r="V31" s="74"/>
      <c r="W31" s="74"/>
      <c r="X31" s="74"/>
      <c r="Y31" s="75"/>
      <c r="Z31" s="73"/>
      <c r="AA31" s="74"/>
      <c r="AB31" s="74"/>
      <c r="AC31" s="74"/>
      <c r="AD31" s="74"/>
      <c r="AE31" s="74"/>
      <c r="AF31" s="74"/>
      <c r="AG31" s="74"/>
      <c r="AH31" s="74"/>
      <c r="AI31" s="74"/>
      <c r="AJ31" s="74"/>
      <c r="AK31" s="74"/>
      <c r="AL31" s="74"/>
      <c r="AM31" s="74"/>
      <c r="AN31" s="74"/>
      <c r="AO31" s="74"/>
      <c r="AP31" s="74"/>
      <c r="AQ31" s="74"/>
      <c r="AR31" s="74"/>
      <c r="AS31" s="75"/>
      <c r="AT31" s="73"/>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5"/>
    </row>
    <row r="32" spans="1:73" ht="15.75" customHeight="1" x14ac:dyDescent="0.15">
      <c r="A32" s="7"/>
      <c r="B32" s="76">
        <v>17</v>
      </c>
      <c r="C32" s="148" t="str">
        <f>IF('INPUT DATA'!L27="","",'INPUT DATA'!L27)</f>
        <v/>
      </c>
      <c r="D32" s="139"/>
      <c r="E32" s="146"/>
      <c r="F32" s="149" t="str">
        <f>IF('INPUT DATA'!M27="","",'INPUT DATA'!M27)</f>
        <v/>
      </c>
      <c r="G32" s="150"/>
      <c r="H32" s="63" t="str">
        <f>IF('INPUT DATA'!N27="","",'INPUT DATA'!N27)</f>
        <v/>
      </c>
      <c r="I32" s="71" t="str">
        <f t="shared" si="0"/>
        <v/>
      </c>
      <c r="J32" s="71" t="str">
        <f t="shared" si="1"/>
        <v/>
      </c>
      <c r="K32" s="71" t="str">
        <f t="shared" si="2"/>
        <v/>
      </c>
      <c r="L32" s="71" t="str">
        <f t="shared" si="3"/>
        <v/>
      </c>
      <c r="M32" s="80" t="s">
        <v>47</v>
      </c>
      <c r="N32" s="73"/>
      <c r="O32" s="74"/>
      <c r="P32" s="74"/>
      <c r="Q32" s="74"/>
      <c r="R32" s="74"/>
      <c r="S32" s="74"/>
      <c r="T32" s="74"/>
      <c r="U32" s="74"/>
      <c r="V32" s="74"/>
      <c r="W32" s="74"/>
      <c r="X32" s="74"/>
      <c r="Y32" s="75"/>
      <c r="Z32" s="73"/>
      <c r="AA32" s="74"/>
      <c r="AB32" s="74"/>
      <c r="AC32" s="74"/>
      <c r="AD32" s="74"/>
      <c r="AE32" s="74"/>
      <c r="AF32" s="74"/>
      <c r="AG32" s="74"/>
      <c r="AH32" s="74"/>
      <c r="AI32" s="74"/>
      <c r="AJ32" s="74"/>
      <c r="AK32" s="74"/>
      <c r="AL32" s="74"/>
      <c r="AM32" s="74"/>
      <c r="AN32" s="74"/>
      <c r="AO32" s="74"/>
      <c r="AP32" s="74"/>
      <c r="AQ32" s="74"/>
      <c r="AR32" s="74"/>
      <c r="AS32" s="75"/>
      <c r="AT32" s="73"/>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5"/>
    </row>
    <row r="33" spans="1:73" ht="15.75" customHeight="1" x14ac:dyDescent="0.15">
      <c r="A33" s="7"/>
      <c r="B33" s="76">
        <v>18</v>
      </c>
      <c r="C33" s="148" t="str">
        <f>IF('INPUT DATA'!L28="","",'INPUT DATA'!L28)</f>
        <v/>
      </c>
      <c r="D33" s="139"/>
      <c r="E33" s="146"/>
      <c r="F33" s="149" t="str">
        <f>IF('INPUT DATA'!M28="","",'INPUT DATA'!M28)</f>
        <v/>
      </c>
      <c r="G33" s="150"/>
      <c r="H33" s="63" t="str">
        <f>IF('INPUT DATA'!N28="","",'INPUT DATA'!N28)</f>
        <v/>
      </c>
      <c r="I33" s="71" t="str">
        <f t="shared" si="0"/>
        <v/>
      </c>
      <c r="J33" s="71" t="str">
        <f t="shared" si="1"/>
        <v/>
      </c>
      <c r="K33" s="71" t="str">
        <f t="shared" si="2"/>
        <v/>
      </c>
      <c r="L33" s="71" t="str">
        <f t="shared" si="3"/>
        <v/>
      </c>
      <c r="M33" s="80" t="s">
        <v>47</v>
      </c>
      <c r="N33" s="73"/>
      <c r="O33" s="74"/>
      <c r="P33" s="74"/>
      <c r="Q33" s="74"/>
      <c r="R33" s="74"/>
      <c r="S33" s="74"/>
      <c r="T33" s="74"/>
      <c r="U33" s="74"/>
      <c r="V33" s="74"/>
      <c r="W33" s="74"/>
      <c r="X33" s="74"/>
      <c r="Y33" s="75"/>
      <c r="Z33" s="73"/>
      <c r="AA33" s="74"/>
      <c r="AB33" s="74"/>
      <c r="AC33" s="74"/>
      <c r="AD33" s="74"/>
      <c r="AE33" s="74"/>
      <c r="AF33" s="74"/>
      <c r="AG33" s="74"/>
      <c r="AH33" s="74"/>
      <c r="AI33" s="74"/>
      <c r="AJ33" s="74"/>
      <c r="AK33" s="74"/>
      <c r="AL33" s="74"/>
      <c r="AM33" s="74"/>
      <c r="AN33" s="74"/>
      <c r="AO33" s="74"/>
      <c r="AP33" s="74"/>
      <c r="AQ33" s="74"/>
      <c r="AR33" s="74"/>
      <c r="AS33" s="75"/>
      <c r="AT33" s="73"/>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5"/>
    </row>
    <row r="34" spans="1:73" ht="15.75" customHeight="1" x14ac:dyDescent="0.15">
      <c r="A34" s="7"/>
      <c r="B34" s="76">
        <v>19</v>
      </c>
      <c r="C34" s="148" t="str">
        <f>IF('INPUT DATA'!L29="","",'INPUT DATA'!L29)</f>
        <v/>
      </c>
      <c r="D34" s="139"/>
      <c r="E34" s="146"/>
      <c r="F34" s="149" t="str">
        <f>IF('INPUT DATA'!M29="","",'INPUT DATA'!M29)</f>
        <v/>
      </c>
      <c r="G34" s="150"/>
      <c r="H34" s="63" t="str">
        <f>IF('INPUT DATA'!N29="","",'INPUT DATA'!N29)</f>
        <v/>
      </c>
      <c r="I34" s="71" t="str">
        <f t="shared" si="0"/>
        <v/>
      </c>
      <c r="J34" s="71" t="str">
        <f t="shared" si="1"/>
        <v/>
      </c>
      <c r="K34" s="71" t="str">
        <f t="shared" si="2"/>
        <v/>
      </c>
      <c r="L34" s="71" t="str">
        <f t="shared" si="3"/>
        <v/>
      </c>
      <c r="M34" s="80" t="s">
        <v>47</v>
      </c>
      <c r="N34" s="73"/>
      <c r="O34" s="74"/>
      <c r="P34" s="74"/>
      <c r="Q34" s="74"/>
      <c r="R34" s="74"/>
      <c r="S34" s="74"/>
      <c r="T34" s="74"/>
      <c r="U34" s="74"/>
      <c r="V34" s="74"/>
      <c r="W34" s="74"/>
      <c r="X34" s="74"/>
      <c r="Y34" s="75"/>
      <c r="Z34" s="73"/>
      <c r="AA34" s="74"/>
      <c r="AB34" s="74"/>
      <c r="AC34" s="74"/>
      <c r="AD34" s="74"/>
      <c r="AE34" s="74"/>
      <c r="AF34" s="74"/>
      <c r="AG34" s="74"/>
      <c r="AH34" s="74"/>
      <c r="AI34" s="74"/>
      <c r="AJ34" s="74"/>
      <c r="AK34" s="74"/>
      <c r="AL34" s="74"/>
      <c r="AM34" s="74"/>
      <c r="AN34" s="74"/>
      <c r="AO34" s="74"/>
      <c r="AP34" s="74"/>
      <c r="AQ34" s="74"/>
      <c r="AR34" s="74"/>
      <c r="AS34" s="75"/>
      <c r="AT34" s="73"/>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5"/>
    </row>
    <row r="35" spans="1:73" ht="15.75" customHeight="1" x14ac:dyDescent="0.15">
      <c r="A35" s="7"/>
      <c r="B35" s="76">
        <v>20</v>
      </c>
      <c r="C35" s="148" t="str">
        <f>IF('INPUT DATA'!L30="","",'INPUT DATA'!L30)</f>
        <v/>
      </c>
      <c r="D35" s="139"/>
      <c r="E35" s="146"/>
      <c r="F35" s="149" t="str">
        <f>IF('INPUT DATA'!M30="","",'INPUT DATA'!M30)</f>
        <v/>
      </c>
      <c r="G35" s="150"/>
      <c r="H35" s="63" t="str">
        <f>IF('INPUT DATA'!N30="","",'INPUT DATA'!N30)</f>
        <v/>
      </c>
      <c r="I35" s="71" t="str">
        <f t="shared" si="0"/>
        <v/>
      </c>
      <c r="J35" s="71" t="str">
        <f t="shared" si="1"/>
        <v/>
      </c>
      <c r="K35" s="71" t="str">
        <f t="shared" si="2"/>
        <v/>
      </c>
      <c r="L35" s="71" t="str">
        <f t="shared" si="3"/>
        <v/>
      </c>
      <c r="M35" s="80" t="s">
        <v>47</v>
      </c>
      <c r="N35" s="73"/>
      <c r="O35" s="74"/>
      <c r="P35" s="74"/>
      <c r="Q35" s="74"/>
      <c r="R35" s="74"/>
      <c r="S35" s="74"/>
      <c r="T35" s="74"/>
      <c r="U35" s="74"/>
      <c r="V35" s="74"/>
      <c r="W35" s="74"/>
      <c r="X35" s="74"/>
      <c r="Y35" s="75"/>
      <c r="Z35" s="73"/>
      <c r="AA35" s="74"/>
      <c r="AB35" s="74"/>
      <c r="AC35" s="74"/>
      <c r="AD35" s="74"/>
      <c r="AE35" s="74"/>
      <c r="AF35" s="74"/>
      <c r="AG35" s="74"/>
      <c r="AH35" s="74"/>
      <c r="AI35" s="74"/>
      <c r="AJ35" s="74"/>
      <c r="AK35" s="74"/>
      <c r="AL35" s="74"/>
      <c r="AM35" s="74"/>
      <c r="AN35" s="74"/>
      <c r="AO35" s="74"/>
      <c r="AP35" s="74"/>
      <c r="AQ35" s="74"/>
      <c r="AR35" s="74"/>
      <c r="AS35" s="75"/>
      <c r="AT35" s="73"/>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5"/>
    </row>
    <row r="36" spans="1:73" ht="15.75" customHeight="1" x14ac:dyDescent="0.15">
      <c r="A36" s="7"/>
      <c r="B36" s="76">
        <v>21</v>
      </c>
      <c r="C36" s="148" t="str">
        <f>IF('INPUT DATA'!L31="","",'INPUT DATA'!L31)</f>
        <v/>
      </c>
      <c r="D36" s="139"/>
      <c r="E36" s="146"/>
      <c r="F36" s="149" t="str">
        <f>IF('INPUT DATA'!M31="","",'INPUT DATA'!M31)</f>
        <v/>
      </c>
      <c r="G36" s="150"/>
      <c r="H36" s="63" t="str">
        <f>IF('INPUT DATA'!N31="","",'INPUT DATA'!N31)</f>
        <v/>
      </c>
      <c r="I36" s="71" t="str">
        <f t="shared" si="0"/>
        <v/>
      </c>
      <c r="J36" s="71" t="str">
        <f t="shared" si="1"/>
        <v/>
      </c>
      <c r="K36" s="71" t="str">
        <f t="shared" si="2"/>
        <v/>
      </c>
      <c r="L36" s="71" t="str">
        <f t="shared" si="3"/>
        <v/>
      </c>
      <c r="M36" s="80" t="s">
        <v>47</v>
      </c>
      <c r="N36" s="73"/>
      <c r="O36" s="74"/>
      <c r="P36" s="74"/>
      <c r="Q36" s="74"/>
      <c r="R36" s="74"/>
      <c r="S36" s="74"/>
      <c r="T36" s="74"/>
      <c r="U36" s="74"/>
      <c r="V36" s="74"/>
      <c r="W36" s="74"/>
      <c r="X36" s="74"/>
      <c r="Y36" s="75"/>
      <c r="Z36" s="73"/>
      <c r="AA36" s="74"/>
      <c r="AB36" s="74"/>
      <c r="AC36" s="74"/>
      <c r="AD36" s="74"/>
      <c r="AE36" s="74"/>
      <c r="AF36" s="74"/>
      <c r="AG36" s="74"/>
      <c r="AH36" s="74"/>
      <c r="AI36" s="74"/>
      <c r="AJ36" s="74"/>
      <c r="AK36" s="74"/>
      <c r="AL36" s="74"/>
      <c r="AM36" s="74"/>
      <c r="AN36" s="74"/>
      <c r="AO36" s="74"/>
      <c r="AP36" s="74"/>
      <c r="AQ36" s="74"/>
      <c r="AR36" s="74"/>
      <c r="AS36" s="75"/>
      <c r="AT36" s="73"/>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5"/>
    </row>
    <row r="37" spans="1:73" ht="15.75" customHeight="1" x14ac:dyDescent="0.15">
      <c r="A37" s="7"/>
      <c r="B37" s="76">
        <v>22</v>
      </c>
      <c r="C37" s="148" t="str">
        <f>IF('INPUT DATA'!L32="","",'INPUT DATA'!L32)</f>
        <v/>
      </c>
      <c r="D37" s="139"/>
      <c r="E37" s="146"/>
      <c r="F37" s="149" t="str">
        <f>IF('INPUT DATA'!M32="","",'INPUT DATA'!M32)</f>
        <v/>
      </c>
      <c r="G37" s="150"/>
      <c r="H37" s="63" t="str">
        <f>IF('INPUT DATA'!N32="","",'INPUT DATA'!N32)</f>
        <v/>
      </c>
      <c r="I37" s="71" t="str">
        <f t="shared" si="0"/>
        <v/>
      </c>
      <c r="J37" s="71" t="str">
        <f t="shared" si="1"/>
        <v/>
      </c>
      <c r="K37" s="71" t="str">
        <f t="shared" si="2"/>
        <v/>
      </c>
      <c r="L37" s="71" t="str">
        <f t="shared" si="3"/>
        <v/>
      </c>
      <c r="M37" s="80" t="s">
        <v>47</v>
      </c>
      <c r="N37" s="73"/>
      <c r="O37" s="74"/>
      <c r="P37" s="74"/>
      <c r="Q37" s="74"/>
      <c r="R37" s="74"/>
      <c r="S37" s="74"/>
      <c r="T37" s="74"/>
      <c r="U37" s="74"/>
      <c r="V37" s="74"/>
      <c r="W37" s="74"/>
      <c r="X37" s="74"/>
      <c r="Y37" s="75"/>
      <c r="Z37" s="73"/>
      <c r="AA37" s="74"/>
      <c r="AB37" s="74"/>
      <c r="AC37" s="74"/>
      <c r="AD37" s="74"/>
      <c r="AE37" s="74"/>
      <c r="AF37" s="74"/>
      <c r="AG37" s="74"/>
      <c r="AH37" s="74"/>
      <c r="AI37" s="74"/>
      <c r="AJ37" s="74"/>
      <c r="AK37" s="74"/>
      <c r="AL37" s="74"/>
      <c r="AM37" s="74"/>
      <c r="AN37" s="74"/>
      <c r="AO37" s="74"/>
      <c r="AP37" s="74"/>
      <c r="AQ37" s="74"/>
      <c r="AR37" s="74"/>
      <c r="AS37" s="75"/>
      <c r="AT37" s="73"/>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5"/>
    </row>
    <row r="38" spans="1:73" ht="15.75" customHeight="1" x14ac:dyDescent="0.15">
      <c r="A38" s="7"/>
      <c r="B38" s="76">
        <v>23</v>
      </c>
      <c r="C38" s="148" t="str">
        <f>IF('INPUT DATA'!L33="","",'INPUT DATA'!L33)</f>
        <v/>
      </c>
      <c r="D38" s="139"/>
      <c r="E38" s="146"/>
      <c r="F38" s="149" t="str">
        <f>IF('INPUT DATA'!M33="","",'INPUT DATA'!M33)</f>
        <v/>
      </c>
      <c r="G38" s="150"/>
      <c r="H38" s="63" t="str">
        <f>IF('INPUT DATA'!N33="","",'INPUT DATA'!N33)</f>
        <v/>
      </c>
      <c r="I38" s="71" t="str">
        <f t="shared" si="0"/>
        <v/>
      </c>
      <c r="J38" s="71" t="str">
        <f t="shared" si="1"/>
        <v/>
      </c>
      <c r="K38" s="71" t="str">
        <f t="shared" si="2"/>
        <v/>
      </c>
      <c r="L38" s="71" t="str">
        <f t="shared" si="3"/>
        <v/>
      </c>
      <c r="M38" s="80" t="s">
        <v>47</v>
      </c>
      <c r="N38" s="73"/>
      <c r="O38" s="74"/>
      <c r="P38" s="74"/>
      <c r="Q38" s="74"/>
      <c r="R38" s="74"/>
      <c r="S38" s="74"/>
      <c r="T38" s="74"/>
      <c r="U38" s="74"/>
      <c r="V38" s="74"/>
      <c r="W38" s="74"/>
      <c r="X38" s="74"/>
      <c r="Y38" s="75"/>
      <c r="Z38" s="73"/>
      <c r="AA38" s="74"/>
      <c r="AB38" s="74"/>
      <c r="AC38" s="74"/>
      <c r="AD38" s="74"/>
      <c r="AE38" s="74"/>
      <c r="AF38" s="74"/>
      <c r="AG38" s="74"/>
      <c r="AH38" s="74"/>
      <c r="AI38" s="74"/>
      <c r="AJ38" s="74"/>
      <c r="AK38" s="74"/>
      <c r="AL38" s="74"/>
      <c r="AM38" s="74"/>
      <c r="AN38" s="74"/>
      <c r="AO38" s="74"/>
      <c r="AP38" s="74"/>
      <c r="AQ38" s="74"/>
      <c r="AR38" s="74"/>
      <c r="AS38" s="75"/>
      <c r="AT38" s="73"/>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5"/>
    </row>
    <row r="39" spans="1:73" ht="15.75" customHeight="1" x14ac:dyDescent="0.15">
      <c r="A39" s="7"/>
      <c r="B39" s="76">
        <v>24</v>
      </c>
      <c r="C39" s="148" t="str">
        <f>IF('INPUT DATA'!L34="","",'INPUT DATA'!L34)</f>
        <v/>
      </c>
      <c r="D39" s="139"/>
      <c r="E39" s="146"/>
      <c r="F39" s="149" t="str">
        <f>IF('INPUT DATA'!M34="","",'INPUT DATA'!M34)</f>
        <v/>
      </c>
      <c r="G39" s="150"/>
      <c r="H39" s="63" t="str">
        <f>IF('INPUT DATA'!N34="","",'INPUT DATA'!N34)</f>
        <v/>
      </c>
      <c r="I39" s="71" t="str">
        <f t="shared" si="0"/>
        <v/>
      </c>
      <c r="J39" s="71" t="str">
        <f t="shared" si="1"/>
        <v/>
      </c>
      <c r="K39" s="71" t="str">
        <f t="shared" si="2"/>
        <v/>
      </c>
      <c r="L39" s="71" t="str">
        <f t="shared" si="3"/>
        <v/>
      </c>
      <c r="M39" s="80" t="s">
        <v>47</v>
      </c>
      <c r="N39" s="73"/>
      <c r="O39" s="74"/>
      <c r="P39" s="74"/>
      <c r="Q39" s="74"/>
      <c r="R39" s="74"/>
      <c r="S39" s="74"/>
      <c r="T39" s="74"/>
      <c r="U39" s="74"/>
      <c r="V39" s="74"/>
      <c r="W39" s="74"/>
      <c r="X39" s="74"/>
      <c r="Y39" s="75"/>
      <c r="Z39" s="73"/>
      <c r="AA39" s="74"/>
      <c r="AB39" s="74"/>
      <c r="AC39" s="74"/>
      <c r="AD39" s="74"/>
      <c r="AE39" s="74"/>
      <c r="AF39" s="74"/>
      <c r="AG39" s="74"/>
      <c r="AH39" s="74"/>
      <c r="AI39" s="74"/>
      <c r="AJ39" s="74"/>
      <c r="AK39" s="74"/>
      <c r="AL39" s="74"/>
      <c r="AM39" s="74"/>
      <c r="AN39" s="74"/>
      <c r="AO39" s="74"/>
      <c r="AP39" s="74"/>
      <c r="AQ39" s="74"/>
      <c r="AR39" s="74"/>
      <c r="AS39" s="75"/>
      <c r="AT39" s="73"/>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5"/>
    </row>
    <row r="40" spans="1:73" ht="15.75" customHeight="1" x14ac:dyDescent="0.15">
      <c r="A40" s="7"/>
      <c r="B40" s="76">
        <v>25</v>
      </c>
      <c r="C40" s="148" t="str">
        <f>IF('INPUT DATA'!L35="","",'INPUT DATA'!L35)</f>
        <v/>
      </c>
      <c r="D40" s="139"/>
      <c r="E40" s="146"/>
      <c r="F40" s="149" t="str">
        <f>IF('INPUT DATA'!M35="","",'INPUT DATA'!M35)</f>
        <v/>
      </c>
      <c r="G40" s="150"/>
      <c r="H40" s="63" t="str">
        <f>IF('INPUT DATA'!N35="","",'INPUT DATA'!N35)</f>
        <v/>
      </c>
      <c r="I40" s="71" t="str">
        <f t="shared" si="0"/>
        <v/>
      </c>
      <c r="J40" s="71" t="str">
        <f t="shared" si="1"/>
        <v/>
      </c>
      <c r="K40" s="71" t="str">
        <f t="shared" si="2"/>
        <v/>
      </c>
      <c r="L40" s="71" t="str">
        <f t="shared" si="3"/>
        <v/>
      </c>
      <c r="M40" s="80" t="s">
        <v>47</v>
      </c>
      <c r="N40" s="73"/>
      <c r="O40" s="74"/>
      <c r="P40" s="74"/>
      <c r="Q40" s="74"/>
      <c r="R40" s="74"/>
      <c r="S40" s="74"/>
      <c r="T40" s="74"/>
      <c r="U40" s="74"/>
      <c r="V40" s="74"/>
      <c r="W40" s="74"/>
      <c r="X40" s="74"/>
      <c r="Y40" s="75"/>
      <c r="Z40" s="73"/>
      <c r="AA40" s="74"/>
      <c r="AB40" s="74"/>
      <c r="AC40" s="74"/>
      <c r="AD40" s="74"/>
      <c r="AE40" s="74"/>
      <c r="AF40" s="74"/>
      <c r="AG40" s="74"/>
      <c r="AH40" s="74"/>
      <c r="AI40" s="74"/>
      <c r="AJ40" s="74"/>
      <c r="AK40" s="74"/>
      <c r="AL40" s="74"/>
      <c r="AM40" s="74"/>
      <c r="AN40" s="74"/>
      <c r="AO40" s="74"/>
      <c r="AP40" s="74"/>
      <c r="AQ40" s="74"/>
      <c r="AR40" s="74"/>
      <c r="AS40" s="75"/>
      <c r="AT40" s="73"/>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5"/>
    </row>
    <row r="41" spans="1:73" ht="15.75" customHeight="1" x14ac:dyDescent="0.15">
      <c r="A41" s="7"/>
      <c r="B41" s="76">
        <v>26</v>
      </c>
      <c r="C41" s="148" t="str">
        <f>IF('INPUT DATA'!L36="","",'INPUT DATA'!L36)</f>
        <v/>
      </c>
      <c r="D41" s="139"/>
      <c r="E41" s="146"/>
      <c r="F41" s="149" t="str">
        <f>IF('INPUT DATA'!M36="","",'INPUT DATA'!M36)</f>
        <v/>
      </c>
      <c r="G41" s="150"/>
      <c r="H41" s="63" t="str">
        <f>IF('INPUT DATA'!N36="","",'INPUT DATA'!N36)</f>
        <v/>
      </c>
      <c r="I41" s="71" t="str">
        <f t="shared" si="0"/>
        <v/>
      </c>
      <c r="J41" s="71" t="str">
        <f t="shared" si="1"/>
        <v/>
      </c>
      <c r="K41" s="71" t="str">
        <f t="shared" si="2"/>
        <v/>
      </c>
      <c r="L41" s="71" t="str">
        <f t="shared" si="3"/>
        <v/>
      </c>
      <c r="M41" s="80" t="s">
        <v>47</v>
      </c>
      <c r="N41" s="73"/>
      <c r="O41" s="74"/>
      <c r="P41" s="74"/>
      <c r="Q41" s="74"/>
      <c r="R41" s="74"/>
      <c r="S41" s="74"/>
      <c r="T41" s="74"/>
      <c r="U41" s="74"/>
      <c r="V41" s="74"/>
      <c r="W41" s="74"/>
      <c r="X41" s="74"/>
      <c r="Y41" s="75"/>
      <c r="Z41" s="73"/>
      <c r="AA41" s="74"/>
      <c r="AB41" s="74"/>
      <c r="AC41" s="74"/>
      <c r="AD41" s="74"/>
      <c r="AE41" s="74"/>
      <c r="AF41" s="74"/>
      <c r="AG41" s="74"/>
      <c r="AH41" s="74"/>
      <c r="AI41" s="74"/>
      <c r="AJ41" s="74"/>
      <c r="AK41" s="74"/>
      <c r="AL41" s="74"/>
      <c r="AM41" s="74"/>
      <c r="AN41" s="74"/>
      <c r="AO41" s="74"/>
      <c r="AP41" s="74"/>
      <c r="AQ41" s="74"/>
      <c r="AR41" s="74"/>
      <c r="AS41" s="75"/>
      <c r="AT41" s="73"/>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5"/>
    </row>
    <row r="42" spans="1:73" ht="15.75" customHeight="1" x14ac:dyDescent="0.15">
      <c r="A42" s="7"/>
      <c r="B42" s="76">
        <v>27</v>
      </c>
      <c r="C42" s="148" t="str">
        <f>IF('INPUT DATA'!L37="","",'INPUT DATA'!L37)</f>
        <v/>
      </c>
      <c r="D42" s="139"/>
      <c r="E42" s="146"/>
      <c r="F42" s="149" t="str">
        <f>IF('INPUT DATA'!M37="","",'INPUT DATA'!M37)</f>
        <v/>
      </c>
      <c r="G42" s="150"/>
      <c r="H42" s="63" t="str">
        <f>IF('INPUT DATA'!N37="","",'INPUT DATA'!N37)</f>
        <v/>
      </c>
      <c r="I42" s="71" t="str">
        <f t="shared" si="0"/>
        <v/>
      </c>
      <c r="J42" s="71" t="str">
        <f t="shared" si="1"/>
        <v/>
      </c>
      <c r="K42" s="71" t="str">
        <f t="shared" si="2"/>
        <v/>
      </c>
      <c r="L42" s="71" t="str">
        <f t="shared" si="3"/>
        <v/>
      </c>
      <c r="M42" s="80" t="s">
        <v>47</v>
      </c>
      <c r="N42" s="73"/>
      <c r="O42" s="74"/>
      <c r="P42" s="74"/>
      <c r="Q42" s="74"/>
      <c r="R42" s="74"/>
      <c r="S42" s="74"/>
      <c r="T42" s="74"/>
      <c r="U42" s="74"/>
      <c r="V42" s="74"/>
      <c r="W42" s="74"/>
      <c r="X42" s="74"/>
      <c r="Y42" s="75"/>
      <c r="Z42" s="73"/>
      <c r="AA42" s="74"/>
      <c r="AB42" s="74"/>
      <c r="AC42" s="74"/>
      <c r="AD42" s="74"/>
      <c r="AE42" s="74"/>
      <c r="AF42" s="74"/>
      <c r="AG42" s="74"/>
      <c r="AH42" s="74"/>
      <c r="AI42" s="74"/>
      <c r="AJ42" s="74"/>
      <c r="AK42" s="74"/>
      <c r="AL42" s="74"/>
      <c r="AM42" s="74"/>
      <c r="AN42" s="74"/>
      <c r="AO42" s="74"/>
      <c r="AP42" s="74"/>
      <c r="AQ42" s="74"/>
      <c r="AR42" s="74"/>
      <c r="AS42" s="75"/>
      <c r="AT42" s="73"/>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5"/>
    </row>
    <row r="43" spans="1:73" ht="15.75" customHeight="1" x14ac:dyDescent="0.15">
      <c r="A43" s="7"/>
      <c r="B43" s="76">
        <v>28</v>
      </c>
      <c r="C43" s="148" t="str">
        <f>IF('INPUT DATA'!L38="","",'INPUT DATA'!L38)</f>
        <v/>
      </c>
      <c r="D43" s="139"/>
      <c r="E43" s="146"/>
      <c r="F43" s="149" t="str">
        <f>IF('INPUT DATA'!M38="","",'INPUT DATA'!M38)</f>
        <v/>
      </c>
      <c r="G43" s="150"/>
      <c r="H43" s="63" t="str">
        <f>IF('INPUT DATA'!N38="","",'INPUT DATA'!N38)</f>
        <v/>
      </c>
      <c r="I43" s="71" t="str">
        <f t="shared" si="0"/>
        <v/>
      </c>
      <c r="J43" s="71" t="str">
        <f t="shared" si="1"/>
        <v/>
      </c>
      <c r="K43" s="71" t="str">
        <f t="shared" si="2"/>
        <v/>
      </c>
      <c r="L43" s="71" t="str">
        <f t="shared" si="3"/>
        <v/>
      </c>
      <c r="M43" s="80" t="s">
        <v>47</v>
      </c>
      <c r="N43" s="73"/>
      <c r="O43" s="74"/>
      <c r="P43" s="74"/>
      <c r="Q43" s="74"/>
      <c r="R43" s="74"/>
      <c r="S43" s="74"/>
      <c r="T43" s="74"/>
      <c r="U43" s="74"/>
      <c r="V43" s="74"/>
      <c r="W43" s="74"/>
      <c r="X43" s="74"/>
      <c r="Y43" s="75"/>
      <c r="Z43" s="73"/>
      <c r="AA43" s="74"/>
      <c r="AB43" s="74"/>
      <c r="AC43" s="74"/>
      <c r="AD43" s="74"/>
      <c r="AE43" s="74"/>
      <c r="AF43" s="74"/>
      <c r="AG43" s="74"/>
      <c r="AH43" s="74"/>
      <c r="AI43" s="74"/>
      <c r="AJ43" s="74"/>
      <c r="AK43" s="74"/>
      <c r="AL43" s="74"/>
      <c r="AM43" s="74"/>
      <c r="AN43" s="74"/>
      <c r="AO43" s="74"/>
      <c r="AP43" s="74"/>
      <c r="AQ43" s="74"/>
      <c r="AR43" s="74"/>
      <c r="AS43" s="75"/>
      <c r="AT43" s="73"/>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5"/>
    </row>
    <row r="44" spans="1:73" ht="15.75" customHeight="1" x14ac:dyDescent="0.15">
      <c r="A44" s="7"/>
      <c r="B44" s="76">
        <v>29</v>
      </c>
      <c r="C44" s="148" t="str">
        <f>IF('INPUT DATA'!L39="","",'INPUT DATA'!L39)</f>
        <v/>
      </c>
      <c r="D44" s="139"/>
      <c r="E44" s="146"/>
      <c r="F44" s="149" t="str">
        <f>IF('INPUT DATA'!M39="","",'INPUT DATA'!M39)</f>
        <v/>
      </c>
      <c r="G44" s="150"/>
      <c r="H44" s="63" t="str">
        <f>IF('INPUT DATA'!N39="","",'INPUT DATA'!N39)</f>
        <v/>
      </c>
      <c r="I44" s="71" t="str">
        <f t="shared" si="0"/>
        <v/>
      </c>
      <c r="J44" s="71" t="str">
        <f t="shared" si="1"/>
        <v/>
      </c>
      <c r="K44" s="71" t="str">
        <f t="shared" si="2"/>
        <v/>
      </c>
      <c r="L44" s="71" t="str">
        <f t="shared" si="3"/>
        <v/>
      </c>
      <c r="M44" s="80" t="s">
        <v>47</v>
      </c>
      <c r="N44" s="73"/>
      <c r="O44" s="74"/>
      <c r="P44" s="74"/>
      <c r="Q44" s="74"/>
      <c r="R44" s="74"/>
      <c r="S44" s="74"/>
      <c r="T44" s="74"/>
      <c r="U44" s="74"/>
      <c r="V44" s="74"/>
      <c r="W44" s="74"/>
      <c r="X44" s="74"/>
      <c r="Y44" s="75"/>
      <c r="Z44" s="73"/>
      <c r="AA44" s="74"/>
      <c r="AB44" s="74"/>
      <c r="AC44" s="74"/>
      <c r="AD44" s="74"/>
      <c r="AE44" s="74"/>
      <c r="AF44" s="74"/>
      <c r="AG44" s="74"/>
      <c r="AH44" s="74"/>
      <c r="AI44" s="74"/>
      <c r="AJ44" s="74"/>
      <c r="AK44" s="74"/>
      <c r="AL44" s="74"/>
      <c r="AM44" s="74"/>
      <c r="AN44" s="74"/>
      <c r="AO44" s="74"/>
      <c r="AP44" s="74"/>
      <c r="AQ44" s="74"/>
      <c r="AR44" s="74"/>
      <c r="AS44" s="75"/>
      <c r="AT44" s="73"/>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5"/>
    </row>
    <row r="45" spans="1:73" ht="15.75" customHeight="1" x14ac:dyDescent="0.15">
      <c r="A45" s="7"/>
      <c r="B45" s="76">
        <v>31</v>
      </c>
      <c r="C45" s="148" t="str">
        <f>IF('INPUT DATA'!L40="","",'INPUT DATA'!L40)</f>
        <v/>
      </c>
      <c r="D45" s="139"/>
      <c r="E45" s="146"/>
      <c r="F45" s="149" t="str">
        <f>IF('INPUT DATA'!M40="","",'INPUT DATA'!M40)</f>
        <v/>
      </c>
      <c r="G45" s="150"/>
      <c r="H45" s="63" t="str">
        <f>IF('INPUT DATA'!N40="","",'INPUT DATA'!N40)</f>
        <v/>
      </c>
      <c r="I45" s="71" t="str">
        <f t="shared" si="0"/>
        <v/>
      </c>
      <c r="J45" s="71" t="str">
        <f t="shared" si="1"/>
        <v/>
      </c>
      <c r="K45" s="71" t="str">
        <f t="shared" si="2"/>
        <v/>
      </c>
      <c r="L45" s="71" t="str">
        <f t="shared" si="3"/>
        <v/>
      </c>
      <c r="M45" s="80" t="s">
        <v>47</v>
      </c>
      <c r="N45" s="73"/>
      <c r="O45" s="74"/>
      <c r="P45" s="74"/>
      <c r="Q45" s="74"/>
      <c r="R45" s="74"/>
      <c r="S45" s="74"/>
      <c r="T45" s="74"/>
      <c r="U45" s="74"/>
      <c r="V45" s="74"/>
      <c r="W45" s="74"/>
      <c r="X45" s="74"/>
      <c r="Y45" s="75"/>
      <c r="Z45" s="73"/>
      <c r="AA45" s="74"/>
      <c r="AB45" s="74"/>
      <c r="AC45" s="74"/>
      <c r="AD45" s="74"/>
      <c r="AE45" s="74"/>
      <c r="AF45" s="74"/>
      <c r="AG45" s="74"/>
      <c r="AH45" s="74"/>
      <c r="AI45" s="74"/>
      <c r="AJ45" s="74"/>
      <c r="AK45" s="74"/>
      <c r="AL45" s="74"/>
      <c r="AM45" s="74"/>
      <c r="AN45" s="74"/>
      <c r="AO45" s="74"/>
      <c r="AP45" s="74"/>
      <c r="AQ45" s="74"/>
      <c r="AR45" s="74"/>
      <c r="AS45" s="75"/>
      <c r="AT45" s="73"/>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5"/>
    </row>
    <row r="46" spans="1:73" ht="15.75" customHeight="1" x14ac:dyDescent="0.15">
      <c r="A46" s="7"/>
      <c r="B46" s="76">
        <v>32</v>
      </c>
      <c r="C46" s="148" t="str">
        <f>IF('INPUT DATA'!L41="","",'INPUT DATA'!L41)</f>
        <v/>
      </c>
      <c r="D46" s="139"/>
      <c r="E46" s="146"/>
      <c r="F46" s="149" t="str">
        <f>IF('INPUT DATA'!M41="","",'INPUT DATA'!M41)</f>
        <v/>
      </c>
      <c r="G46" s="150"/>
      <c r="H46" s="63" t="str">
        <f>IF('INPUT DATA'!N41="","",'INPUT DATA'!N41)</f>
        <v/>
      </c>
      <c r="I46" s="71" t="str">
        <f t="shared" si="0"/>
        <v/>
      </c>
      <c r="J46" s="71" t="str">
        <f t="shared" si="1"/>
        <v/>
      </c>
      <c r="K46" s="71" t="str">
        <f t="shared" si="2"/>
        <v/>
      </c>
      <c r="L46" s="71" t="str">
        <f t="shared" si="3"/>
        <v/>
      </c>
      <c r="M46" s="80" t="s">
        <v>47</v>
      </c>
      <c r="N46" s="73"/>
      <c r="O46" s="74"/>
      <c r="P46" s="74"/>
      <c r="Q46" s="74"/>
      <c r="R46" s="74"/>
      <c r="S46" s="74"/>
      <c r="T46" s="74"/>
      <c r="U46" s="74"/>
      <c r="V46" s="74"/>
      <c r="W46" s="74"/>
      <c r="X46" s="74"/>
      <c r="Y46" s="75"/>
      <c r="Z46" s="73"/>
      <c r="AA46" s="74"/>
      <c r="AB46" s="74"/>
      <c r="AC46" s="74"/>
      <c r="AD46" s="74"/>
      <c r="AE46" s="74"/>
      <c r="AF46" s="74"/>
      <c r="AG46" s="74"/>
      <c r="AH46" s="74"/>
      <c r="AI46" s="74"/>
      <c r="AJ46" s="74"/>
      <c r="AK46" s="74"/>
      <c r="AL46" s="74"/>
      <c r="AM46" s="74"/>
      <c r="AN46" s="74"/>
      <c r="AO46" s="74"/>
      <c r="AP46" s="74"/>
      <c r="AQ46" s="74"/>
      <c r="AR46" s="74"/>
      <c r="AS46" s="75"/>
      <c r="AT46" s="73"/>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5"/>
    </row>
    <row r="47" spans="1:73" ht="15.75" customHeight="1" x14ac:dyDescent="0.15">
      <c r="A47" s="7"/>
      <c r="B47" s="76">
        <v>33</v>
      </c>
      <c r="C47" s="148" t="str">
        <f>IF('INPUT DATA'!L42="","",'INPUT DATA'!L42)</f>
        <v/>
      </c>
      <c r="D47" s="139"/>
      <c r="E47" s="146"/>
      <c r="F47" s="149" t="str">
        <f>IF('INPUT DATA'!M42="","",'INPUT DATA'!M42)</f>
        <v/>
      </c>
      <c r="G47" s="150"/>
      <c r="H47" s="63" t="str">
        <f>IF('INPUT DATA'!N42="","",'INPUT DATA'!N42)</f>
        <v/>
      </c>
      <c r="I47" s="71" t="str">
        <f t="shared" si="0"/>
        <v/>
      </c>
      <c r="J47" s="71" t="str">
        <f t="shared" si="1"/>
        <v/>
      </c>
      <c r="K47" s="71" t="str">
        <f t="shared" si="2"/>
        <v/>
      </c>
      <c r="L47" s="71" t="str">
        <f t="shared" si="3"/>
        <v/>
      </c>
      <c r="M47" s="80" t="s">
        <v>47</v>
      </c>
      <c r="N47" s="73"/>
      <c r="O47" s="74"/>
      <c r="P47" s="74"/>
      <c r="Q47" s="74"/>
      <c r="R47" s="74"/>
      <c r="S47" s="74"/>
      <c r="T47" s="74"/>
      <c r="U47" s="74"/>
      <c r="V47" s="74"/>
      <c r="W47" s="74"/>
      <c r="X47" s="74"/>
      <c r="Y47" s="75"/>
      <c r="Z47" s="73"/>
      <c r="AA47" s="74"/>
      <c r="AB47" s="74"/>
      <c r="AC47" s="74"/>
      <c r="AD47" s="74"/>
      <c r="AE47" s="74"/>
      <c r="AF47" s="74"/>
      <c r="AG47" s="74"/>
      <c r="AH47" s="74"/>
      <c r="AI47" s="74"/>
      <c r="AJ47" s="74"/>
      <c r="AK47" s="74"/>
      <c r="AL47" s="74"/>
      <c r="AM47" s="74"/>
      <c r="AN47" s="74"/>
      <c r="AO47" s="74"/>
      <c r="AP47" s="74"/>
      <c r="AQ47" s="74"/>
      <c r="AR47" s="74"/>
      <c r="AS47" s="75"/>
      <c r="AT47" s="73"/>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5"/>
    </row>
    <row r="48" spans="1:73" ht="15.75" customHeight="1" x14ac:dyDescent="0.15">
      <c r="A48" s="7"/>
      <c r="B48" s="76">
        <v>34</v>
      </c>
      <c r="C48" s="148" t="str">
        <f>IF('INPUT DATA'!L43="","",'INPUT DATA'!L43)</f>
        <v/>
      </c>
      <c r="D48" s="139"/>
      <c r="E48" s="146"/>
      <c r="F48" s="149" t="str">
        <f>IF('INPUT DATA'!M43="","",'INPUT DATA'!M43)</f>
        <v/>
      </c>
      <c r="G48" s="150"/>
      <c r="H48" s="63" t="str">
        <f>IF('INPUT DATA'!N43="","",'INPUT DATA'!N43)</f>
        <v/>
      </c>
      <c r="I48" s="71" t="str">
        <f t="shared" si="0"/>
        <v/>
      </c>
      <c r="J48" s="71" t="str">
        <f t="shared" si="1"/>
        <v/>
      </c>
      <c r="K48" s="71" t="str">
        <f t="shared" si="2"/>
        <v/>
      </c>
      <c r="L48" s="71" t="str">
        <f t="shared" si="3"/>
        <v/>
      </c>
      <c r="M48" s="80" t="s">
        <v>47</v>
      </c>
      <c r="N48" s="73"/>
      <c r="O48" s="74"/>
      <c r="P48" s="74"/>
      <c r="Q48" s="74"/>
      <c r="R48" s="74"/>
      <c r="S48" s="74"/>
      <c r="T48" s="74"/>
      <c r="U48" s="74"/>
      <c r="V48" s="74"/>
      <c r="W48" s="74"/>
      <c r="X48" s="74"/>
      <c r="Y48" s="75"/>
      <c r="Z48" s="73"/>
      <c r="AA48" s="74"/>
      <c r="AB48" s="74"/>
      <c r="AC48" s="74"/>
      <c r="AD48" s="74"/>
      <c r="AE48" s="74"/>
      <c r="AF48" s="74"/>
      <c r="AG48" s="74"/>
      <c r="AH48" s="74"/>
      <c r="AI48" s="74"/>
      <c r="AJ48" s="74"/>
      <c r="AK48" s="74"/>
      <c r="AL48" s="74"/>
      <c r="AM48" s="74"/>
      <c r="AN48" s="74"/>
      <c r="AO48" s="74"/>
      <c r="AP48" s="74"/>
      <c r="AQ48" s="74"/>
      <c r="AR48" s="74"/>
      <c r="AS48" s="75"/>
      <c r="AT48" s="73"/>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5"/>
    </row>
    <row r="49" spans="1:73" ht="15.75" customHeight="1" x14ac:dyDescent="0.15">
      <c r="A49" s="7"/>
      <c r="B49" s="76">
        <v>35</v>
      </c>
      <c r="C49" s="148" t="str">
        <f>IF('INPUT DATA'!L44="","",'INPUT DATA'!L44)</f>
        <v/>
      </c>
      <c r="D49" s="139"/>
      <c r="E49" s="146"/>
      <c r="F49" s="149" t="str">
        <f>IF('INPUT DATA'!M44="","",'INPUT DATA'!M44)</f>
        <v/>
      </c>
      <c r="G49" s="150"/>
      <c r="H49" s="63" t="str">
        <f>IF('INPUT DATA'!N44="","",'INPUT DATA'!N44)</f>
        <v/>
      </c>
      <c r="I49" s="71" t="str">
        <f t="shared" si="0"/>
        <v/>
      </c>
      <c r="J49" s="71" t="str">
        <f t="shared" si="1"/>
        <v/>
      </c>
      <c r="K49" s="71" t="str">
        <f t="shared" si="2"/>
        <v/>
      </c>
      <c r="L49" s="71" t="str">
        <f t="shared" si="3"/>
        <v/>
      </c>
      <c r="M49" s="80" t="s">
        <v>47</v>
      </c>
      <c r="N49" s="73"/>
      <c r="O49" s="74"/>
      <c r="P49" s="74"/>
      <c r="Q49" s="74"/>
      <c r="R49" s="74"/>
      <c r="S49" s="74"/>
      <c r="T49" s="74"/>
      <c r="U49" s="74"/>
      <c r="V49" s="74"/>
      <c r="W49" s="74"/>
      <c r="X49" s="74"/>
      <c r="Y49" s="75"/>
      <c r="Z49" s="73"/>
      <c r="AA49" s="74"/>
      <c r="AB49" s="74"/>
      <c r="AC49" s="74"/>
      <c r="AD49" s="74"/>
      <c r="AE49" s="74"/>
      <c r="AF49" s="74"/>
      <c r="AG49" s="74"/>
      <c r="AH49" s="74"/>
      <c r="AI49" s="74"/>
      <c r="AJ49" s="74"/>
      <c r="AK49" s="74"/>
      <c r="AL49" s="74"/>
      <c r="AM49" s="74"/>
      <c r="AN49" s="74"/>
      <c r="AO49" s="74"/>
      <c r="AP49" s="74"/>
      <c r="AQ49" s="74"/>
      <c r="AR49" s="74"/>
      <c r="AS49" s="75"/>
      <c r="AT49" s="73"/>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5"/>
    </row>
    <row r="50" spans="1:73" ht="15.75" customHeight="1" x14ac:dyDescent="0.15">
      <c r="A50" s="7"/>
      <c r="B50" s="76">
        <v>36</v>
      </c>
      <c r="C50" s="148" t="str">
        <f>IF('INPUT DATA'!L45="","",'INPUT DATA'!L45)</f>
        <v/>
      </c>
      <c r="D50" s="139"/>
      <c r="E50" s="146"/>
      <c r="F50" s="149" t="str">
        <f>IF('INPUT DATA'!M45="","",'INPUT DATA'!M45)</f>
        <v/>
      </c>
      <c r="G50" s="150"/>
      <c r="H50" s="63" t="str">
        <f>IF('INPUT DATA'!N45="","",'INPUT DATA'!N45)</f>
        <v/>
      </c>
      <c r="I50" s="71" t="str">
        <f t="shared" si="0"/>
        <v/>
      </c>
      <c r="J50" s="71" t="str">
        <f t="shared" si="1"/>
        <v/>
      </c>
      <c r="K50" s="71" t="str">
        <f t="shared" si="2"/>
        <v/>
      </c>
      <c r="L50" s="71" t="str">
        <f t="shared" si="3"/>
        <v/>
      </c>
      <c r="M50" s="80" t="s">
        <v>47</v>
      </c>
      <c r="N50" s="73"/>
      <c r="O50" s="74"/>
      <c r="P50" s="74"/>
      <c r="Q50" s="74"/>
      <c r="R50" s="74"/>
      <c r="S50" s="74"/>
      <c r="T50" s="74"/>
      <c r="U50" s="74"/>
      <c r="V50" s="74"/>
      <c r="W50" s="74"/>
      <c r="X50" s="74"/>
      <c r="Y50" s="75"/>
      <c r="Z50" s="73"/>
      <c r="AA50" s="74"/>
      <c r="AB50" s="74"/>
      <c r="AC50" s="74"/>
      <c r="AD50" s="74"/>
      <c r="AE50" s="74"/>
      <c r="AF50" s="74"/>
      <c r="AG50" s="74"/>
      <c r="AH50" s="74"/>
      <c r="AI50" s="74"/>
      <c r="AJ50" s="74"/>
      <c r="AK50" s="74"/>
      <c r="AL50" s="74"/>
      <c r="AM50" s="74"/>
      <c r="AN50" s="74"/>
      <c r="AO50" s="74"/>
      <c r="AP50" s="74"/>
      <c r="AQ50" s="74"/>
      <c r="AR50" s="74"/>
      <c r="AS50" s="75"/>
      <c r="AT50" s="73"/>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5"/>
    </row>
    <row r="51" spans="1:73" ht="15.75" customHeight="1" x14ac:dyDescent="0.15">
      <c r="A51" s="7"/>
      <c r="B51" s="76">
        <v>37</v>
      </c>
      <c r="C51" s="148" t="str">
        <f>IF('INPUT DATA'!L46="","",'INPUT DATA'!L46)</f>
        <v/>
      </c>
      <c r="D51" s="139"/>
      <c r="E51" s="146"/>
      <c r="F51" s="149" t="str">
        <f>IF('INPUT DATA'!M46="","",'INPUT DATA'!M46)</f>
        <v/>
      </c>
      <c r="G51" s="150"/>
      <c r="H51" s="63" t="str">
        <f>IF('INPUT DATA'!N46="","",'INPUT DATA'!N46)</f>
        <v/>
      </c>
      <c r="I51" s="71" t="str">
        <f t="shared" si="0"/>
        <v/>
      </c>
      <c r="J51" s="71" t="str">
        <f t="shared" si="1"/>
        <v/>
      </c>
      <c r="K51" s="71" t="str">
        <f t="shared" si="2"/>
        <v/>
      </c>
      <c r="L51" s="71" t="str">
        <f t="shared" si="3"/>
        <v/>
      </c>
      <c r="M51" s="80" t="s">
        <v>47</v>
      </c>
      <c r="N51" s="73"/>
      <c r="O51" s="74"/>
      <c r="P51" s="74"/>
      <c r="Q51" s="74"/>
      <c r="R51" s="74"/>
      <c r="S51" s="74"/>
      <c r="T51" s="74"/>
      <c r="U51" s="74"/>
      <c r="V51" s="74"/>
      <c r="W51" s="74"/>
      <c r="X51" s="74"/>
      <c r="Y51" s="75"/>
      <c r="Z51" s="73"/>
      <c r="AA51" s="74"/>
      <c r="AB51" s="74"/>
      <c r="AC51" s="74"/>
      <c r="AD51" s="74"/>
      <c r="AE51" s="74"/>
      <c r="AF51" s="74"/>
      <c r="AG51" s="74"/>
      <c r="AH51" s="74"/>
      <c r="AI51" s="74"/>
      <c r="AJ51" s="74"/>
      <c r="AK51" s="74"/>
      <c r="AL51" s="74"/>
      <c r="AM51" s="74"/>
      <c r="AN51" s="74"/>
      <c r="AO51" s="74"/>
      <c r="AP51" s="74"/>
      <c r="AQ51" s="74"/>
      <c r="AR51" s="74"/>
      <c r="AS51" s="75"/>
      <c r="AT51" s="73"/>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5"/>
    </row>
    <row r="52" spans="1:73" ht="15.75" customHeight="1" x14ac:dyDescent="0.15">
      <c r="A52" s="7"/>
      <c r="B52" s="76">
        <v>38</v>
      </c>
      <c r="C52" s="148" t="str">
        <f>IF('INPUT DATA'!L47="","",'INPUT DATA'!L47)</f>
        <v/>
      </c>
      <c r="D52" s="139"/>
      <c r="E52" s="146"/>
      <c r="F52" s="149" t="str">
        <f>IF('INPUT DATA'!M47="","",'INPUT DATA'!M47)</f>
        <v/>
      </c>
      <c r="G52" s="150"/>
      <c r="H52" s="63" t="str">
        <f>IF('INPUT DATA'!N47="","",'INPUT DATA'!N47)</f>
        <v/>
      </c>
      <c r="I52" s="71" t="str">
        <f t="shared" si="0"/>
        <v/>
      </c>
      <c r="J52" s="71" t="str">
        <f t="shared" si="1"/>
        <v/>
      </c>
      <c r="K52" s="71" t="str">
        <f t="shared" si="2"/>
        <v/>
      </c>
      <c r="L52" s="71" t="str">
        <f t="shared" si="3"/>
        <v/>
      </c>
      <c r="M52" s="80" t="s">
        <v>47</v>
      </c>
      <c r="N52" s="73"/>
      <c r="O52" s="74"/>
      <c r="P52" s="74"/>
      <c r="Q52" s="74"/>
      <c r="R52" s="74"/>
      <c r="S52" s="74"/>
      <c r="T52" s="74"/>
      <c r="U52" s="74"/>
      <c r="V52" s="74"/>
      <c r="W52" s="74"/>
      <c r="X52" s="74"/>
      <c r="Y52" s="75"/>
      <c r="Z52" s="73"/>
      <c r="AA52" s="74"/>
      <c r="AB52" s="74"/>
      <c r="AC52" s="74"/>
      <c r="AD52" s="74"/>
      <c r="AE52" s="74"/>
      <c r="AF52" s="74"/>
      <c r="AG52" s="74"/>
      <c r="AH52" s="74"/>
      <c r="AI52" s="74"/>
      <c r="AJ52" s="74"/>
      <c r="AK52" s="74"/>
      <c r="AL52" s="74"/>
      <c r="AM52" s="74"/>
      <c r="AN52" s="74"/>
      <c r="AO52" s="74"/>
      <c r="AP52" s="74"/>
      <c r="AQ52" s="74"/>
      <c r="AR52" s="74"/>
      <c r="AS52" s="75"/>
      <c r="AT52" s="73"/>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5"/>
    </row>
    <row r="53" spans="1:73" ht="15.75" customHeight="1" x14ac:dyDescent="0.15">
      <c r="A53" s="7"/>
      <c r="B53" s="76">
        <v>39</v>
      </c>
      <c r="C53" s="148" t="str">
        <f>IF('INPUT DATA'!L48="","",'INPUT DATA'!L48)</f>
        <v/>
      </c>
      <c r="D53" s="139"/>
      <c r="E53" s="146"/>
      <c r="F53" s="149" t="str">
        <f>IF('INPUT DATA'!M48="","",'INPUT DATA'!M48)</f>
        <v/>
      </c>
      <c r="G53" s="150"/>
      <c r="H53" s="63" t="str">
        <f>IF('INPUT DATA'!N48="","",'INPUT DATA'!N48)</f>
        <v/>
      </c>
      <c r="I53" s="71" t="str">
        <f t="shared" si="0"/>
        <v/>
      </c>
      <c r="J53" s="71" t="str">
        <f t="shared" si="1"/>
        <v/>
      </c>
      <c r="K53" s="71" t="str">
        <f t="shared" si="2"/>
        <v/>
      </c>
      <c r="L53" s="71" t="str">
        <f t="shared" si="3"/>
        <v/>
      </c>
      <c r="M53" s="80" t="s">
        <v>47</v>
      </c>
      <c r="N53" s="73"/>
      <c r="O53" s="74"/>
      <c r="P53" s="74"/>
      <c r="Q53" s="74"/>
      <c r="R53" s="74"/>
      <c r="S53" s="74"/>
      <c r="T53" s="74"/>
      <c r="U53" s="74"/>
      <c r="V53" s="74"/>
      <c r="W53" s="74"/>
      <c r="X53" s="74"/>
      <c r="Y53" s="75"/>
      <c r="Z53" s="73"/>
      <c r="AA53" s="74"/>
      <c r="AB53" s="74"/>
      <c r="AC53" s="74"/>
      <c r="AD53" s="74"/>
      <c r="AE53" s="74"/>
      <c r="AF53" s="74"/>
      <c r="AG53" s="74"/>
      <c r="AH53" s="74"/>
      <c r="AI53" s="74"/>
      <c r="AJ53" s="74"/>
      <c r="AK53" s="74"/>
      <c r="AL53" s="74"/>
      <c r="AM53" s="74"/>
      <c r="AN53" s="74"/>
      <c r="AO53" s="74"/>
      <c r="AP53" s="74"/>
      <c r="AQ53" s="74"/>
      <c r="AR53" s="74"/>
      <c r="AS53" s="75"/>
      <c r="AT53" s="73"/>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5"/>
    </row>
    <row r="54" spans="1:73" ht="15.75" customHeight="1" x14ac:dyDescent="0.15">
      <c r="A54" s="7"/>
      <c r="B54" s="76">
        <v>40</v>
      </c>
      <c r="C54" s="148" t="str">
        <f>IF('INPUT DATA'!L49="","",'INPUT DATA'!L49)</f>
        <v/>
      </c>
      <c r="D54" s="139"/>
      <c r="E54" s="146"/>
      <c r="F54" s="149" t="str">
        <f>IF('INPUT DATA'!M49="","",'INPUT DATA'!M49)</f>
        <v/>
      </c>
      <c r="G54" s="150"/>
      <c r="H54" s="63" t="str">
        <f>IF('INPUT DATA'!N49="","",'INPUT DATA'!N49)</f>
        <v/>
      </c>
      <c r="I54" s="71" t="str">
        <f t="shared" si="0"/>
        <v/>
      </c>
      <c r="J54" s="71" t="str">
        <f t="shared" si="1"/>
        <v/>
      </c>
      <c r="K54" s="71" t="str">
        <f t="shared" si="2"/>
        <v/>
      </c>
      <c r="L54" s="71" t="str">
        <f t="shared" si="3"/>
        <v/>
      </c>
      <c r="M54" s="80" t="s">
        <v>47</v>
      </c>
      <c r="N54" s="73"/>
      <c r="O54" s="74"/>
      <c r="P54" s="74"/>
      <c r="Q54" s="74"/>
      <c r="R54" s="74"/>
      <c r="S54" s="74"/>
      <c r="T54" s="74"/>
      <c r="U54" s="74"/>
      <c r="V54" s="74"/>
      <c r="W54" s="74"/>
      <c r="X54" s="74"/>
      <c r="Y54" s="75"/>
      <c r="Z54" s="73"/>
      <c r="AA54" s="74"/>
      <c r="AB54" s="74"/>
      <c r="AC54" s="74"/>
      <c r="AD54" s="74"/>
      <c r="AE54" s="74"/>
      <c r="AF54" s="74"/>
      <c r="AG54" s="74"/>
      <c r="AH54" s="74"/>
      <c r="AI54" s="74"/>
      <c r="AJ54" s="74"/>
      <c r="AK54" s="74"/>
      <c r="AL54" s="74"/>
      <c r="AM54" s="74"/>
      <c r="AN54" s="74"/>
      <c r="AO54" s="74"/>
      <c r="AP54" s="74"/>
      <c r="AQ54" s="74"/>
      <c r="AR54" s="74"/>
      <c r="AS54" s="75"/>
      <c r="AT54" s="73"/>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5"/>
    </row>
    <row r="55" spans="1:73" ht="15.75" customHeight="1" x14ac:dyDescent="0.15">
      <c r="A55" s="7"/>
      <c r="B55" s="76">
        <v>41</v>
      </c>
      <c r="C55" s="148" t="str">
        <f>IF('INPUT DATA'!L50="","",'INPUT DATA'!L50)</f>
        <v/>
      </c>
      <c r="D55" s="139"/>
      <c r="E55" s="146"/>
      <c r="F55" s="149" t="str">
        <f>IF('INPUT DATA'!M50="","",'INPUT DATA'!M50)</f>
        <v/>
      </c>
      <c r="G55" s="150"/>
      <c r="H55" s="63" t="str">
        <f>IF('INPUT DATA'!N50="","",'INPUT DATA'!N50)</f>
        <v/>
      </c>
      <c r="I55" s="71" t="str">
        <f t="shared" si="0"/>
        <v/>
      </c>
      <c r="J55" s="71" t="str">
        <f t="shared" si="1"/>
        <v/>
      </c>
      <c r="K55" s="71" t="str">
        <f t="shared" si="2"/>
        <v/>
      </c>
      <c r="L55" s="71" t="str">
        <f t="shared" si="3"/>
        <v/>
      </c>
      <c r="M55" s="80" t="s">
        <v>47</v>
      </c>
      <c r="N55" s="73"/>
      <c r="O55" s="74"/>
      <c r="P55" s="74"/>
      <c r="Q55" s="74"/>
      <c r="R55" s="74"/>
      <c r="S55" s="74"/>
      <c r="T55" s="74"/>
      <c r="U55" s="74"/>
      <c r="V55" s="74"/>
      <c r="W55" s="74"/>
      <c r="X55" s="74"/>
      <c r="Y55" s="75"/>
      <c r="Z55" s="73"/>
      <c r="AA55" s="74"/>
      <c r="AB55" s="74"/>
      <c r="AC55" s="74"/>
      <c r="AD55" s="74"/>
      <c r="AE55" s="74"/>
      <c r="AF55" s="74"/>
      <c r="AG55" s="74"/>
      <c r="AH55" s="74"/>
      <c r="AI55" s="74"/>
      <c r="AJ55" s="74"/>
      <c r="AK55" s="74"/>
      <c r="AL55" s="74"/>
      <c r="AM55" s="74"/>
      <c r="AN55" s="74"/>
      <c r="AO55" s="74"/>
      <c r="AP55" s="74"/>
      <c r="AQ55" s="74"/>
      <c r="AR55" s="74"/>
      <c r="AS55" s="75"/>
      <c r="AT55" s="73"/>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5"/>
    </row>
    <row r="56" spans="1:73" ht="15.75" customHeight="1" x14ac:dyDescent="0.15">
      <c r="A56" s="7"/>
      <c r="B56" s="76">
        <v>42</v>
      </c>
      <c r="C56" s="148" t="str">
        <f>IF('INPUT DATA'!L51="","",'INPUT DATA'!L51)</f>
        <v/>
      </c>
      <c r="D56" s="139"/>
      <c r="E56" s="146"/>
      <c r="F56" s="149" t="str">
        <f>IF('INPUT DATA'!M51="","",'INPUT DATA'!M51)</f>
        <v/>
      </c>
      <c r="G56" s="150"/>
      <c r="H56" s="63" t="str">
        <f>IF('INPUT DATA'!N51="","",'INPUT DATA'!N51)</f>
        <v/>
      </c>
      <c r="I56" s="71" t="str">
        <f t="shared" si="0"/>
        <v/>
      </c>
      <c r="J56" s="71" t="str">
        <f t="shared" si="1"/>
        <v/>
      </c>
      <c r="K56" s="71" t="str">
        <f t="shared" si="2"/>
        <v/>
      </c>
      <c r="L56" s="71" t="str">
        <f t="shared" si="3"/>
        <v/>
      </c>
      <c r="M56" s="80" t="s">
        <v>47</v>
      </c>
      <c r="N56" s="73"/>
      <c r="O56" s="74"/>
      <c r="P56" s="74"/>
      <c r="Q56" s="74"/>
      <c r="R56" s="74"/>
      <c r="S56" s="74"/>
      <c r="T56" s="74"/>
      <c r="U56" s="74"/>
      <c r="V56" s="74"/>
      <c r="W56" s="74"/>
      <c r="X56" s="74"/>
      <c r="Y56" s="75"/>
      <c r="Z56" s="73"/>
      <c r="AA56" s="74"/>
      <c r="AB56" s="74"/>
      <c r="AC56" s="74"/>
      <c r="AD56" s="74"/>
      <c r="AE56" s="74"/>
      <c r="AF56" s="74"/>
      <c r="AG56" s="74"/>
      <c r="AH56" s="74"/>
      <c r="AI56" s="74"/>
      <c r="AJ56" s="74"/>
      <c r="AK56" s="74"/>
      <c r="AL56" s="74"/>
      <c r="AM56" s="74"/>
      <c r="AN56" s="74"/>
      <c r="AO56" s="74"/>
      <c r="AP56" s="74"/>
      <c r="AQ56" s="74"/>
      <c r="AR56" s="74"/>
      <c r="AS56" s="75"/>
      <c r="AT56" s="73"/>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5"/>
    </row>
    <row r="57" spans="1:73" ht="15.75" customHeight="1" x14ac:dyDescent="0.15">
      <c r="A57" s="7"/>
      <c r="B57" s="76">
        <v>43</v>
      </c>
      <c r="C57" s="148" t="str">
        <f>IF('INPUT DATA'!L52="","",'INPUT DATA'!L52)</f>
        <v/>
      </c>
      <c r="D57" s="139"/>
      <c r="E57" s="146"/>
      <c r="F57" s="149" t="str">
        <f>IF('INPUT DATA'!M52="","",'INPUT DATA'!M52)</f>
        <v/>
      </c>
      <c r="G57" s="150"/>
      <c r="H57" s="63" t="str">
        <f>IF('INPUT DATA'!N52="","",'INPUT DATA'!N52)</f>
        <v/>
      </c>
      <c r="I57" s="71" t="str">
        <f t="shared" si="0"/>
        <v/>
      </c>
      <c r="J57" s="71" t="str">
        <f t="shared" si="1"/>
        <v/>
      </c>
      <c r="K57" s="71" t="str">
        <f t="shared" si="2"/>
        <v/>
      </c>
      <c r="L57" s="71" t="str">
        <f t="shared" si="3"/>
        <v/>
      </c>
      <c r="M57" s="80" t="s">
        <v>47</v>
      </c>
      <c r="N57" s="73"/>
      <c r="O57" s="74"/>
      <c r="P57" s="74"/>
      <c r="Q57" s="74"/>
      <c r="R57" s="74"/>
      <c r="S57" s="74"/>
      <c r="T57" s="74"/>
      <c r="U57" s="74"/>
      <c r="V57" s="74"/>
      <c r="W57" s="74"/>
      <c r="X57" s="74"/>
      <c r="Y57" s="75"/>
      <c r="Z57" s="73"/>
      <c r="AA57" s="74"/>
      <c r="AB57" s="74"/>
      <c r="AC57" s="74"/>
      <c r="AD57" s="74"/>
      <c r="AE57" s="74"/>
      <c r="AF57" s="74"/>
      <c r="AG57" s="74"/>
      <c r="AH57" s="74"/>
      <c r="AI57" s="74"/>
      <c r="AJ57" s="74"/>
      <c r="AK57" s="74"/>
      <c r="AL57" s="74"/>
      <c r="AM57" s="74"/>
      <c r="AN57" s="74"/>
      <c r="AO57" s="74"/>
      <c r="AP57" s="74"/>
      <c r="AQ57" s="74"/>
      <c r="AR57" s="74"/>
      <c r="AS57" s="75"/>
      <c r="AT57" s="73"/>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5"/>
    </row>
    <row r="58" spans="1:73" ht="15.75" customHeight="1" x14ac:dyDescent="0.15">
      <c r="A58" s="7"/>
      <c r="B58" s="76">
        <v>44</v>
      </c>
      <c r="C58" s="148" t="str">
        <f>IF('INPUT DATA'!L53="","",'INPUT DATA'!L53)</f>
        <v/>
      </c>
      <c r="D58" s="139"/>
      <c r="E58" s="146"/>
      <c r="F58" s="149" t="str">
        <f>IF('INPUT DATA'!M53="","",'INPUT DATA'!M53)</f>
        <v/>
      </c>
      <c r="G58" s="150"/>
      <c r="H58" s="63" t="str">
        <f>IF('INPUT DATA'!N53="","",'INPUT DATA'!N53)</f>
        <v/>
      </c>
      <c r="I58" s="71" t="str">
        <f t="shared" si="0"/>
        <v/>
      </c>
      <c r="J58" s="71" t="str">
        <f t="shared" si="1"/>
        <v/>
      </c>
      <c r="K58" s="71" t="str">
        <f t="shared" si="2"/>
        <v/>
      </c>
      <c r="L58" s="71" t="str">
        <f t="shared" si="3"/>
        <v/>
      </c>
      <c r="M58" s="80" t="s">
        <v>47</v>
      </c>
      <c r="N58" s="73"/>
      <c r="O58" s="74"/>
      <c r="P58" s="74"/>
      <c r="Q58" s="74"/>
      <c r="R58" s="74"/>
      <c r="S58" s="74"/>
      <c r="T58" s="74"/>
      <c r="U58" s="74"/>
      <c r="V58" s="74"/>
      <c r="W58" s="74"/>
      <c r="X58" s="74"/>
      <c r="Y58" s="75"/>
      <c r="Z58" s="73"/>
      <c r="AA58" s="74"/>
      <c r="AB58" s="74"/>
      <c r="AC58" s="74"/>
      <c r="AD58" s="74"/>
      <c r="AE58" s="74"/>
      <c r="AF58" s="74"/>
      <c r="AG58" s="74"/>
      <c r="AH58" s="74"/>
      <c r="AI58" s="74"/>
      <c r="AJ58" s="74"/>
      <c r="AK58" s="74"/>
      <c r="AL58" s="74"/>
      <c r="AM58" s="74"/>
      <c r="AN58" s="74"/>
      <c r="AO58" s="74"/>
      <c r="AP58" s="74"/>
      <c r="AQ58" s="74"/>
      <c r="AR58" s="74"/>
      <c r="AS58" s="75"/>
      <c r="AT58" s="73"/>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5"/>
    </row>
    <row r="59" spans="1:73" ht="15.75" customHeight="1" x14ac:dyDescent="0.15">
      <c r="A59" s="7"/>
      <c r="B59" s="76">
        <v>45</v>
      </c>
      <c r="C59" s="148" t="str">
        <f>IF('INPUT DATA'!L54="","",'INPUT DATA'!L54)</f>
        <v/>
      </c>
      <c r="D59" s="139"/>
      <c r="E59" s="146"/>
      <c r="F59" s="149" t="str">
        <f>IF('INPUT DATA'!M54="","",'INPUT DATA'!M54)</f>
        <v/>
      </c>
      <c r="G59" s="150"/>
      <c r="H59" s="63" t="str">
        <f>IF('INPUT DATA'!N54="","",'INPUT DATA'!N54)</f>
        <v/>
      </c>
      <c r="I59" s="71" t="str">
        <f t="shared" si="0"/>
        <v/>
      </c>
      <c r="J59" s="71" t="str">
        <f t="shared" si="1"/>
        <v/>
      </c>
      <c r="K59" s="71" t="str">
        <f t="shared" si="2"/>
        <v/>
      </c>
      <c r="L59" s="71" t="str">
        <f t="shared" si="3"/>
        <v/>
      </c>
      <c r="M59" s="80" t="s">
        <v>47</v>
      </c>
      <c r="N59" s="73"/>
      <c r="O59" s="74"/>
      <c r="P59" s="74"/>
      <c r="Q59" s="74"/>
      <c r="R59" s="74"/>
      <c r="S59" s="74"/>
      <c r="T59" s="74"/>
      <c r="U59" s="74"/>
      <c r="V59" s="74"/>
      <c r="W59" s="74"/>
      <c r="X59" s="74"/>
      <c r="Y59" s="75"/>
      <c r="Z59" s="73"/>
      <c r="AA59" s="74"/>
      <c r="AB59" s="74"/>
      <c r="AC59" s="74"/>
      <c r="AD59" s="74"/>
      <c r="AE59" s="74"/>
      <c r="AF59" s="74"/>
      <c r="AG59" s="74"/>
      <c r="AH59" s="74"/>
      <c r="AI59" s="74"/>
      <c r="AJ59" s="74"/>
      <c r="AK59" s="74"/>
      <c r="AL59" s="74"/>
      <c r="AM59" s="74"/>
      <c r="AN59" s="74"/>
      <c r="AO59" s="74"/>
      <c r="AP59" s="74"/>
      <c r="AQ59" s="74"/>
      <c r="AR59" s="74"/>
      <c r="AS59" s="75"/>
      <c r="AT59" s="73"/>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5"/>
    </row>
    <row r="60" spans="1:73" ht="15.75" customHeight="1" x14ac:dyDescent="0.15">
      <c r="A60" s="7"/>
      <c r="B60" s="76">
        <v>46</v>
      </c>
      <c r="C60" s="148" t="str">
        <f>IF('INPUT DATA'!L55="","",'INPUT DATA'!L55)</f>
        <v/>
      </c>
      <c r="D60" s="139"/>
      <c r="E60" s="146"/>
      <c r="F60" s="149" t="str">
        <f>IF('INPUT DATA'!M55="","",'INPUT DATA'!M55)</f>
        <v/>
      </c>
      <c r="G60" s="150"/>
      <c r="H60" s="63" t="str">
        <f>IF('INPUT DATA'!N55="","",'INPUT DATA'!N55)</f>
        <v/>
      </c>
      <c r="I60" s="71" t="str">
        <f t="shared" si="0"/>
        <v/>
      </c>
      <c r="J60" s="71" t="str">
        <f t="shared" si="1"/>
        <v/>
      </c>
      <c r="K60" s="71" t="str">
        <f t="shared" si="2"/>
        <v/>
      </c>
      <c r="L60" s="71" t="str">
        <f t="shared" si="3"/>
        <v/>
      </c>
      <c r="M60" s="80" t="s">
        <v>47</v>
      </c>
      <c r="N60" s="73"/>
      <c r="O60" s="74"/>
      <c r="P60" s="74"/>
      <c r="Q60" s="74"/>
      <c r="R60" s="74"/>
      <c r="S60" s="74"/>
      <c r="T60" s="74"/>
      <c r="U60" s="74"/>
      <c r="V60" s="74"/>
      <c r="W60" s="74"/>
      <c r="X60" s="74"/>
      <c r="Y60" s="75"/>
      <c r="Z60" s="73"/>
      <c r="AA60" s="74"/>
      <c r="AB60" s="74"/>
      <c r="AC60" s="74"/>
      <c r="AD60" s="74"/>
      <c r="AE60" s="74"/>
      <c r="AF60" s="74"/>
      <c r="AG60" s="74"/>
      <c r="AH60" s="74"/>
      <c r="AI60" s="74"/>
      <c r="AJ60" s="74"/>
      <c r="AK60" s="74"/>
      <c r="AL60" s="74"/>
      <c r="AM60" s="74"/>
      <c r="AN60" s="74"/>
      <c r="AO60" s="74"/>
      <c r="AP60" s="74"/>
      <c r="AQ60" s="74"/>
      <c r="AR60" s="74"/>
      <c r="AS60" s="75"/>
      <c r="AT60" s="73"/>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5"/>
    </row>
    <row r="61" spans="1:73" ht="15.75" customHeight="1" x14ac:dyDescent="0.15">
      <c r="A61" s="7"/>
      <c r="B61" s="76">
        <v>47</v>
      </c>
      <c r="C61" s="148" t="str">
        <f>IF('INPUT DATA'!L56="","",'INPUT DATA'!L56)</f>
        <v/>
      </c>
      <c r="D61" s="139"/>
      <c r="E61" s="146"/>
      <c r="F61" s="149" t="str">
        <f>IF('INPUT DATA'!M56="","",'INPUT DATA'!M56)</f>
        <v/>
      </c>
      <c r="G61" s="150"/>
      <c r="H61" s="63" t="str">
        <f>IF('INPUT DATA'!N56="","",'INPUT DATA'!N56)</f>
        <v/>
      </c>
      <c r="I61" s="71" t="str">
        <f t="shared" si="0"/>
        <v/>
      </c>
      <c r="J61" s="71" t="str">
        <f t="shared" si="1"/>
        <v/>
      </c>
      <c r="K61" s="71" t="str">
        <f t="shared" si="2"/>
        <v/>
      </c>
      <c r="L61" s="71" t="str">
        <f t="shared" si="3"/>
        <v/>
      </c>
      <c r="M61" s="80" t="s">
        <v>47</v>
      </c>
      <c r="N61" s="73"/>
      <c r="O61" s="74"/>
      <c r="P61" s="74"/>
      <c r="Q61" s="74"/>
      <c r="R61" s="74"/>
      <c r="S61" s="74"/>
      <c r="T61" s="74"/>
      <c r="U61" s="74"/>
      <c r="V61" s="74"/>
      <c r="W61" s="74"/>
      <c r="X61" s="74"/>
      <c r="Y61" s="75"/>
      <c r="Z61" s="73"/>
      <c r="AA61" s="74"/>
      <c r="AB61" s="74"/>
      <c r="AC61" s="74"/>
      <c r="AD61" s="74"/>
      <c r="AE61" s="74"/>
      <c r="AF61" s="74"/>
      <c r="AG61" s="74"/>
      <c r="AH61" s="74"/>
      <c r="AI61" s="74"/>
      <c r="AJ61" s="74"/>
      <c r="AK61" s="74"/>
      <c r="AL61" s="74"/>
      <c r="AM61" s="74"/>
      <c r="AN61" s="74"/>
      <c r="AO61" s="74"/>
      <c r="AP61" s="74"/>
      <c r="AQ61" s="74"/>
      <c r="AR61" s="74"/>
      <c r="AS61" s="75"/>
      <c r="AT61" s="73"/>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5"/>
    </row>
    <row r="62" spans="1:73" ht="15.75" customHeight="1" x14ac:dyDescent="0.15">
      <c r="A62" s="7"/>
      <c r="B62" s="76">
        <v>48</v>
      </c>
      <c r="C62" s="148" t="str">
        <f>IF('INPUT DATA'!L57="","",'INPUT DATA'!L57)</f>
        <v/>
      </c>
      <c r="D62" s="139"/>
      <c r="E62" s="146"/>
      <c r="F62" s="149" t="str">
        <f>IF('INPUT DATA'!M57="","",'INPUT DATA'!M57)</f>
        <v/>
      </c>
      <c r="G62" s="150"/>
      <c r="H62" s="63" t="str">
        <f>IF('INPUT DATA'!N57="","",'INPUT DATA'!N57)</f>
        <v/>
      </c>
      <c r="I62" s="71" t="str">
        <f t="shared" si="0"/>
        <v/>
      </c>
      <c r="J62" s="71" t="str">
        <f t="shared" si="1"/>
        <v/>
      </c>
      <c r="K62" s="71" t="str">
        <f t="shared" si="2"/>
        <v/>
      </c>
      <c r="L62" s="71" t="str">
        <f t="shared" si="3"/>
        <v/>
      </c>
      <c r="M62" s="80" t="s">
        <v>47</v>
      </c>
      <c r="N62" s="73"/>
      <c r="O62" s="74"/>
      <c r="P62" s="74"/>
      <c r="Q62" s="74"/>
      <c r="R62" s="74"/>
      <c r="S62" s="74"/>
      <c r="T62" s="74"/>
      <c r="U62" s="74"/>
      <c r="V62" s="74"/>
      <c r="W62" s="74"/>
      <c r="X62" s="74"/>
      <c r="Y62" s="75"/>
      <c r="Z62" s="73"/>
      <c r="AA62" s="74"/>
      <c r="AB62" s="74"/>
      <c r="AC62" s="74"/>
      <c r="AD62" s="74"/>
      <c r="AE62" s="74"/>
      <c r="AF62" s="74"/>
      <c r="AG62" s="74"/>
      <c r="AH62" s="74"/>
      <c r="AI62" s="74"/>
      <c r="AJ62" s="74"/>
      <c r="AK62" s="74"/>
      <c r="AL62" s="74"/>
      <c r="AM62" s="74"/>
      <c r="AN62" s="74"/>
      <c r="AO62" s="74"/>
      <c r="AP62" s="74"/>
      <c r="AQ62" s="74"/>
      <c r="AR62" s="74"/>
      <c r="AS62" s="75"/>
      <c r="AT62" s="73"/>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5"/>
    </row>
    <row r="63" spans="1:73" ht="15.75" customHeight="1" x14ac:dyDescent="0.15">
      <c r="A63" s="7"/>
      <c r="B63" s="76">
        <v>49</v>
      </c>
      <c r="C63" s="148" t="str">
        <f>IF('INPUT DATA'!L58="","",'INPUT DATA'!L58)</f>
        <v/>
      </c>
      <c r="D63" s="139"/>
      <c r="E63" s="146"/>
      <c r="F63" s="149" t="str">
        <f>IF('INPUT DATA'!M58="","",'INPUT DATA'!M58)</f>
        <v/>
      </c>
      <c r="G63" s="150"/>
      <c r="H63" s="63" t="str">
        <f>IF('INPUT DATA'!N58="","",'INPUT DATA'!N58)</f>
        <v/>
      </c>
      <c r="I63" s="71" t="str">
        <f t="shared" si="0"/>
        <v/>
      </c>
      <c r="J63" s="71" t="str">
        <f t="shared" si="1"/>
        <v/>
      </c>
      <c r="K63" s="71" t="str">
        <f t="shared" si="2"/>
        <v/>
      </c>
      <c r="L63" s="71" t="str">
        <f t="shared" si="3"/>
        <v/>
      </c>
      <c r="M63" s="80" t="s">
        <v>47</v>
      </c>
      <c r="N63" s="73"/>
      <c r="O63" s="74"/>
      <c r="P63" s="74"/>
      <c r="Q63" s="74"/>
      <c r="R63" s="74"/>
      <c r="S63" s="74"/>
      <c r="T63" s="74"/>
      <c r="U63" s="74"/>
      <c r="V63" s="74"/>
      <c r="W63" s="74"/>
      <c r="X63" s="74"/>
      <c r="Y63" s="75"/>
      <c r="Z63" s="73"/>
      <c r="AA63" s="74"/>
      <c r="AB63" s="74"/>
      <c r="AC63" s="74"/>
      <c r="AD63" s="74"/>
      <c r="AE63" s="74"/>
      <c r="AF63" s="74"/>
      <c r="AG63" s="74"/>
      <c r="AH63" s="74"/>
      <c r="AI63" s="74"/>
      <c r="AJ63" s="74"/>
      <c r="AK63" s="74"/>
      <c r="AL63" s="74"/>
      <c r="AM63" s="74"/>
      <c r="AN63" s="74"/>
      <c r="AO63" s="74"/>
      <c r="AP63" s="74"/>
      <c r="AQ63" s="74"/>
      <c r="AR63" s="74"/>
      <c r="AS63" s="75"/>
      <c r="AT63" s="73"/>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5"/>
    </row>
    <row r="64" spans="1:73" ht="15.75" customHeight="1" x14ac:dyDescent="0.15">
      <c r="A64" s="7"/>
      <c r="B64" s="82">
        <v>50</v>
      </c>
      <c r="C64" s="161" t="str">
        <f>IF('INPUT DATA'!L59="","",'INPUT DATA'!L59)</f>
        <v/>
      </c>
      <c r="D64" s="156"/>
      <c r="E64" s="157"/>
      <c r="F64" s="159" t="str">
        <f>IF('INPUT DATA'!M59="","",'INPUT DATA'!M59)</f>
        <v/>
      </c>
      <c r="G64" s="160"/>
      <c r="H64" s="84" t="str">
        <f>IF('INPUT DATA'!N59="","",'INPUT DATA'!N59)</f>
        <v/>
      </c>
      <c r="I64" s="98" t="str">
        <f t="shared" si="0"/>
        <v/>
      </c>
      <c r="J64" s="98" t="str">
        <f t="shared" si="1"/>
        <v/>
      </c>
      <c r="K64" s="98" t="str">
        <f t="shared" si="2"/>
        <v/>
      </c>
      <c r="L64" s="98" t="str">
        <f t="shared" si="3"/>
        <v/>
      </c>
      <c r="M64" s="99" t="s">
        <v>47</v>
      </c>
      <c r="N64" s="89"/>
      <c r="O64" s="90"/>
      <c r="P64" s="90"/>
      <c r="Q64" s="90"/>
      <c r="R64" s="90"/>
      <c r="S64" s="90"/>
      <c r="T64" s="90"/>
      <c r="U64" s="90"/>
      <c r="V64" s="90"/>
      <c r="W64" s="90"/>
      <c r="X64" s="90"/>
      <c r="Y64" s="91"/>
      <c r="Z64" s="89"/>
      <c r="AA64" s="90"/>
      <c r="AB64" s="90"/>
      <c r="AC64" s="90"/>
      <c r="AD64" s="90"/>
      <c r="AE64" s="90"/>
      <c r="AF64" s="90"/>
      <c r="AG64" s="90"/>
      <c r="AH64" s="90"/>
      <c r="AI64" s="90"/>
      <c r="AJ64" s="90"/>
      <c r="AK64" s="90"/>
      <c r="AL64" s="90"/>
      <c r="AM64" s="90"/>
      <c r="AN64" s="90"/>
      <c r="AO64" s="90"/>
      <c r="AP64" s="90"/>
      <c r="AQ64" s="90"/>
      <c r="AR64" s="90"/>
      <c r="AS64" s="91"/>
      <c r="AT64" s="89"/>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1"/>
    </row>
    <row r="65" spans="1:73" ht="15.75" customHeight="1" x14ac:dyDescent="0.15">
      <c r="A65" s="7"/>
      <c r="B65" s="206" t="s">
        <v>10</v>
      </c>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207"/>
      <c r="BT65" s="207"/>
      <c r="BU65" s="208"/>
    </row>
    <row r="66" spans="1:73" ht="15.75" customHeight="1" x14ac:dyDescent="0.15">
      <c r="A66" s="7"/>
      <c r="B66" s="92">
        <v>1</v>
      </c>
      <c r="C66" s="162" t="str">
        <f>IF('INPUT DATA'!Q11="","",'INPUT DATA'!Q11)</f>
        <v/>
      </c>
      <c r="D66" s="163"/>
      <c r="E66" s="154"/>
      <c r="F66" s="153" t="str">
        <f>IF('INPUT DATA'!R11="","",'INPUT DATA'!R11)</f>
        <v/>
      </c>
      <c r="G66" s="154"/>
      <c r="H66" s="93" t="str">
        <f>IF('INPUT DATA'!S11="","",'INPUT DATA'!S11)</f>
        <v/>
      </c>
      <c r="I66" s="81" t="str">
        <f t="shared" ref="I66:I114" si="4">IF(H66="","",DATEDIF(H66,DATE(2026,6,8),"Y"))</f>
        <v/>
      </c>
      <c r="J66" s="81" t="str">
        <f t="shared" ref="J66:J114" si="5">IF(H66="","",DATEDIF(H66,DATE(2026,6,8),"YM"))</f>
        <v/>
      </c>
      <c r="K66" s="81" t="str">
        <f t="shared" ref="K66:K114" si="6">IF(H66="","",DATEDIF(H66,DATE(2027,4,8),"Y"))</f>
        <v/>
      </c>
      <c r="L66" s="81" t="str">
        <f t="shared" ref="L66:L114" si="7">IF(H66="","",DATEDIF(H66,DATE(2027,4,8),"YM"))</f>
        <v/>
      </c>
      <c r="M66" s="94" t="s">
        <v>51</v>
      </c>
      <c r="N66" s="59"/>
      <c r="O66" s="60"/>
      <c r="P66" s="60"/>
      <c r="Q66" s="60"/>
      <c r="R66" s="60"/>
      <c r="S66" s="60"/>
      <c r="T66" s="60"/>
      <c r="U66" s="60"/>
      <c r="V66" s="60"/>
      <c r="W66" s="60"/>
      <c r="X66" s="60"/>
      <c r="Y66" s="61"/>
      <c r="Z66" s="59"/>
      <c r="AA66" s="60"/>
      <c r="AB66" s="60"/>
      <c r="AC66" s="60"/>
      <c r="AD66" s="60"/>
      <c r="AE66" s="60"/>
      <c r="AF66" s="60"/>
      <c r="AG66" s="60"/>
      <c r="AH66" s="60"/>
      <c r="AI66" s="60"/>
      <c r="AJ66" s="60"/>
      <c r="AK66" s="60"/>
      <c r="AL66" s="60"/>
      <c r="AM66" s="60"/>
      <c r="AN66" s="60"/>
      <c r="AO66" s="60"/>
      <c r="AP66" s="60"/>
      <c r="AQ66" s="60"/>
      <c r="AR66" s="60"/>
      <c r="AS66" s="61"/>
      <c r="AT66" s="59"/>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1"/>
    </row>
    <row r="67" spans="1:73" ht="15.75" customHeight="1" x14ac:dyDescent="0.15">
      <c r="A67" s="7"/>
      <c r="B67" s="95">
        <v>2</v>
      </c>
      <c r="C67" s="145" t="str">
        <f>IF('INPUT DATA'!Q12="","",'INPUT DATA'!Q12)</f>
        <v/>
      </c>
      <c r="D67" s="139"/>
      <c r="E67" s="146"/>
      <c r="F67" s="147" t="str">
        <f>IF('INPUT DATA'!R12="","",'INPUT DATA'!R12)</f>
        <v/>
      </c>
      <c r="G67" s="146"/>
      <c r="H67" s="96" t="str">
        <f>IF('INPUT DATA'!S12="","",'INPUT DATA'!S12)</f>
        <v/>
      </c>
      <c r="I67" s="71" t="str">
        <f t="shared" si="4"/>
        <v/>
      </c>
      <c r="J67" s="71" t="str">
        <f t="shared" si="5"/>
        <v/>
      </c>
      <c r="K67" s="71" t="str">
        <f t="shared" si="6"/>
        <v/>
      </c>
      <c r="L67" s="71" t="str">
        <f t="shared" si="7"/>
        <v/>
      </c>
      <c r="M67" s="78" t="s">
        <v>51</v>
      </c>
      <c r="N67" s="68"/>
      <c r="O67" s="69"/>
      <c r="P67" s="69"/>
      <c r="Q67" s="69"/>
      <c r="R67" s="69"/>
      <c r="S67" s="69"/>
      <c r="T67" s="69"/>
      <c r="U67" s="69"/>
      <c r="V67" s="69"/>
      <c r="W67" s="69"/>
      <c r="X67" s="69"/>
      <c r="Y67" s="70"/>
      <c r="Z67" s="68"/>
      <c r="AA67" s="69"/>
      <c r="AB67" s="69"/>
      <c r="AC67" s="69"/>
      <c r="AD67" s="69"/>
      <c r="AE67" s="69"/>
      <c r="AF67" s="69"/>
      <c r="AG67" s="69"/>
      <c r="AH67" s="69"/>
      <c r="AI67" s="69"/>
      <c r="AJ67" s="69"/>
      <c r="AK67" s="69"/>
      <c r="AL67" s="69"/>
      <c r="AM67" s="69"/>
      <c r="AN67" s="69"/>
      <c r="AO67" s="69"/>
      <c r="AP67" s="69"/>
      <c r="AQ67" s="69"/>
      <c r="AR67" s="69"/>
      <c r="AS67" s="70"/>
      <c r="AT67" s="68"/>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70"/>
    </row>
    <row r="68" spans="1:73" ht="15.75" customHeight="1" x14ac:dyDescent="0.15">
      <c r="A68" s="7"/>
      <c r="B68" s="95">
        <v>3</v>
      </c>
      <c r="C68" s="145" t="str">
        <f>IF('INPUT DATA'!Q13="","",'INPUT DATA'!Q13)</f>
        <v/>
      </c>
      <c r="D68" s="139"/>
      <c r="E68" s="146"/>
      <c r="F68" s="147" t="str">
        <f>IF('INPUT DATA'!R13="","",'INPUT DATA'!R13)</f>
        <v/>
      </c>
      <c r="G68" s="146"/>
      <c r="H68" s="96" t="str">
        <f>IF('INPUT DATA'!S13="","",'INPUT DATA'!S13)</f>
        <v/>
      </c>
      <c r="I68" s="71" t="str">
        <f t="shared" si="4"/>
        <v/>
      </c>
      <c r="J68" s="71" t="str">
        <f t="shared" si="5"/>
        <v/>
      </c>
      <c r="K68" s="71" t="str">
        <f t="shared" si="6"/>
        <v/>
      </c>
      <c r="L68" s="71" t="str">
        <f t="shared" si="7"/>
        <v/>
      </c>
      <c r="M68" s="78" t="s">
        <v>51</v>
      </c>
      <c r="N68" s="73"/>
      <c r="O68" s="74"/>
      <c r="P68" s="74"/>
      <c r="Q68" s="74"/>
      <c r="R68" s="74"/>
      <c r="S68" s="74"/>
      <c r="T68" s="74"/>
      <c r="U68" s="74"/>
      <c r="V68" s="74"/>
      <c r="W68" s="74"/>
      <c r="X68" s="74"/>
      <c r="Y68" s="75"/>
      <c r="Z68" s="73"/>
      <c r="AA68" s="74"/>
      <c r="AB68" s="74"/>
      <c r="AC68" s="74"/>
      <c r="AD68" s="74"/>
      <c r="AE68" s="74"/>
      <c r="AF68" s="74"/>
      <c r="AG68" s="74"/>
      <c r="AH68" s="74"/>
      <c r="AI68" s="74"/>
      <c r="AJ68" s="74"/>
      <c r="AK68" s="74"/>
      <c r="AL68" s="74"/>
      <c r="AM68" s="74"/>
      <c r="AN68" s="74"/>
      <c r="AO68" s="74"/>
      <c r="AP68" s="74"/>
      <c r="AQ68" s="74"/>
      <c r="AR68" s="74"/>
      <c r="AS68" s="75"/>
      <c r="AT68" s="73"/>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5"/>
    </row>
    <row r="69" spans="1:73" ht="15.75" customHeight="1" x14ac:dyDescent="0.15">
      <c r="A69" s="7"/>
      <c r="B69" s="97">
        <v>4</v>
      </c>
      <c r="C69" s="145" t="str">
        <f>IF('INPUT DATA'!Q14="","",'INPUT DATA'!Q14)</f>
        <v/>
      </c>
      <c r="D69" s="139"/>
      <c r="E69" s="146"/>
      <c r="F69" s="147" t="str">
        <f>IF('INPUT DATA'!R14="","",'INPUT DATA'!R14)</f>
        <v/>
      </c>
      <c r="G69" s="146"/>
      <c r="H69" s="96" t="str">
        <f>IF('INPUT DATA'!S14="","",'INPUT DATA'!S14)</f>
        <v/>
      </c>
      <c r="I69" s="71" t="str">
        <f t="shared" si="4"/>
        <v/>
      </c>
      <c r="J69" s="71" t="str">
        <f t="shared" si="5"/>
        <v/>
      </c>
      <c r="K69" s="71" t="str">
        <f t="shared" si="6"/>
        <v/>
      </c>
      <c r="L69" s="71" t="str">
        <f t="shared" si="7"/>
        <v/>
      </c>
      <c r="M69" s="78" t="s">
        <v>51</v>
      </c>
      <c r="N69" s="73"/>
      <c r="O69" s="74"/>
      <c r="P69" s="74"/>
      <c r="Q69" s="74"/>
      <c r="R69" s="74"/>
      <c r="S69" s="74"/>
      <c r="T69" s="74"/>
      <c r="U69" s="74"/>
      <c r="V69" s="74"/>
      <c r="W69" s="74"/>
      <c r="X69" s="74"/>
      <c r="Y69" s="75"/>
      <c r="Z69" s="73"/>
      <c r="AA69" s="74"/>
      <c r="AB69" s="74"/>
      <c r="AC69" s="74"/>
      <c r="AD69" s="74"/>
      <c r="AE69" s="74"/>
      <c r="AF69" s="74"/>
      <c r="AG69" s="74"/>
      <c r="AH69" s="74"/>
      <c r="AI69" s="74"/>
      <c r="AJ69" s="74"/>
      <c r="AK69" s="74"/>
      <c r="AL69" s="74"/>
      <c r="AM69" s="74"/>
      <c r="AN69" s="74"/>
      <c r="AO69" s="74"/>
      <c r="AP69" s="74"/>
      <c r="AQ69" s="74"/>
      <c r="AR69" s="74"/>
      <c r="AS69" s="75"/>
      <c r="AT69" s="73"/>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5"/>
    </row>
    <row r="70" spans="1:73" ht="15.75" customHeight="1" x14ac:dyDescent="0.15">
      <c r="A70" s="7"/>
      <c r="B70" s="97">
        <v>5</v>
      </c>
      <c r="C70" s="145" t="str">
        <f>IF('INPUT DATA'!Q15="","",'INPUT DATA'!Q15)</f>
        <v/>
      </c>
      <c r="D70" s="139"/>
      <c r="E70" s="146"/>
      <c r="F70" s="147" t="str">
        <f>IF('INPUT DATA'!R15="","",'INPUT DATA'!R15)</f>
        <v/>
      </c>
      <c r="G70" s="146"/>
      <c r="H70" s="96" t="str">
        <f>IF('INPUT DATA'!S15="","",'INPUT DATA'!S15)</f>
        <v/>
      </c>
      <c r="I70" s="71" t="str">
        <f t="shared" si="4"/>
        <v/>
      </c>
      <c r="J70" s="71" t="str">
        <f t="shared" si="5"/>
        <v/>
      </c>
      <c r="K70" s="71" t="str">
        <f t="shared" si="6"/>
        <v/>
      </c>
      <c r="L70" s="71" t="str">
        <f t="shared" si="7"/>
        <v/>
      </c>
      <c r="M70" s="78" t="s">
        <v>51</v>
      </c>
      <c r="N70" s="73"/>
      <c r="O70" s="74"/>
      <c r="P70" s="74"/>
      <c r="Q70" s="74"/>
      <c r="R70" s="74"/>
      <c r="S70" s="74"/>
      <c r="T70" s="74"/>
      <c r="U70" s="74"/>
      <c r="V70" s="74"/>
      <c r="W70" s="74"/>
      <c r="X70" s="74"/>
      <c r="Y70" s="75"/>
      <c r="Z70" s="73"/>
      <c r="AA70" s="74"/>
      <c r="AB70" s="74"/>
      <c r="AC70" s="74"/>
      <c r="AD70" s="74"/>
      <c r="AE70" s="74"/>
      <c r="AF70" s="74"/>
      <c r="AG70" s="74"/>
      <c r="AH70" s="74"/>
      <c r="AI70" s="74"/>
      <c r="AJ70" s="74"/>
      <c r="AK70" s="74"/>
      <c r="AL70" s="74"/>
      <c r="AM70" s="74"/>
      <c r="AN70" s="74"/>
      <c r="AO70" s="74"/>
      <c r="AP70" s="74"/>
      <c r="AQ70" s="74"/>
      <c r="AR70" s="74"/>
      <c r="AS70" s="75"/>
      <c r="AT70" s="73"/>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5"/>
    </row>
    <row r="71" spans="1:73" ht="15.75" customHeight="1" x14ac:dyDescent="0.15">
      <c r="A71" s="7"/>
      <c r="B71" s="97">
        <v>6</v>
      </c>
      <c r="C71" s="145" t="str">
        <f>IF('INPUT DATA'!Q16="","",'INPUT DATA'!Q16)</f>
        <v/>
      </c>
      <c r="D71" s="139"/>
      <c r="E71" s="146"/>
      <c r="F71" s="147" t="str">
        <f>IF('INPUT DATA'!R16="","",'INPUT DATA'!R16)</f>
        <v/>
      </c>
      <c r="G71" s="146"/>
      <c r="H71" s="96" t="str">
        <f>IF('INPUT DATA'!S16="","",'INPUT DATA'!S16)</f>
        <v/>
      </c>
      <c r="I71" s="71" t="str">
        <f t="shared" si="4"/>
        <v/>
      </c>
      <c r="J71" s="71" t="str">
        <f t="shared" si="5"/>
        <v/>
      </c>
      <c r="K71" s="71" t="str">
        <f t="shared" si="6"/>
        <v/>
      </c>
      <c r="L71" s="71" t="str">
        <f t="shared" si="7"/>
        <v/>
      </c>
      <c r="M71" s="78" t="s">
        <v>51</v>
      </c>
      <c r="N71" s="68"/>
      <c r="O71" s="69"/>
      <c r="P71" s="69"/>
      <c r="Q71" s="69"/>
      <c r="R71" s="69"/>
      <c r="S71" s="69"/>
      <c r="T71" s="69"/>
      <c r="U71" s="69"/>
      <c r="V71" s="69"/>
      <c r="W71" s="69"/>
      <c r="X71" s="74"/>
      <c r="Y71" s="75"/>
      <c r="Z71" s="68"/>
      <c r="AA71" s="69"/>
      <c r="AB71" s="69"/>
      <c r="AC71" s="69"/>
      <c r="AD71" s="69"/>
      <c r="AE71" s="69"/>
      <c r="AF71" s="69"/>
      <c r="AG71" s="69"/>
      <c r="AH71" s="69"/>
      <c r="AI71" s="69"/>
      <c r="AJ71" s="69"/>
      <c r="AK71" s="69"/>
      <c r="AL71" s="69"/>
      <c r="AM71" s="69"/>
      <c r="AN71" s="69"/>
      <c r="AO71" s="69"/>
      <c r="AP71" s="69"/>
      <c r="AQ71" s="69"/>
      <c r="AR71" s="69"/>
      <c r="AS71" s="75"/>
      <c r="AT71" s="68"/>
      <c r="AU71" s="69"/>
      <c r="AV71" s="69"/>
      <c r="AW71" s="69"/>
      <c r="AX71" s="69"/>
      <c r="AY71" s="74"/>
      <c r="AZ71" s="74"/>
      <c r="BA71" s="74"/>
      <c r="BB71" s="74"/>
      <c r="BC71" s="74"/>
      <c r="BD71" s="74"/>
      <c r="BE71" s="74"/>
      <c r="BF71" s="74"/>
      <c r="BG71" s="74"/>
      <c r="BH71" s="74"/>
      <c r="BI71" s="74"/>
      <c r="BJ71" s="74"/>
      <c r="BK71" s="74"/>
      <c r="BL71" s="74"/>
      <c r="BM71" s="74"/>
      <c r="BN71" s="74"/>
      <c r="BO71" s="74"/>
      <c r="BP71" s="74"/>
      <c r="BQ71" s="74"/>
      <c r="BR71" s="74"/>
      <c r="BS71" s="74"/>
      <c r="BT71" s="74"/>
      <c r="BU71" s="75"/>
    </row>
    <row r="72" spans="1:73" ht="15.75" customHeight="1" x14ac:dyDescent="0.15">
      <c r="A72" s="7"/>
      <c r="B72" s="97">
        <v>7</v>
      </c>
      <c r="C72" s="145" t="str">
        <f>IF('INPUT DATA'!Q17="","",'INPUT DATA'!Q17)</f>
        <v/>
      </c>
      <c r="D72" s="139"/>
      <c r="E72" s="146"/>
      <c r="F72" s="147" t="str">
        <f>IF('INPUT DATA'!R17="","",'INPUT DATA'!R17)</f>
        <v/>
      </c>
      <c r="G72" s="146"/>
      <c r="H72" s="96" t="str">
        <f>IF('INPUT DATA'!S17="","",'INPUT DATA'!S17)</f>
        <v/>
      </c>
      <c r="I72" s="71" t="str">
        <f t="shared" si="4"/>
        <v/>
      </c>
      <c r="J72" s="71" t="str">
        <f t="shared" si="5"/>
        <v/>
      </c>
      <c r="K72" s="71" t="str">
        <f t="shared" si="6"/>
        <v/>
      </c>
      <c r="L72" s="71" t="str">
        <f t="shared" si="7"/>
        <v/>
      </c>
      <c r="M72" s="78" t="s">
        <v>51</v>
      </c>
      <c r="N72" s="73"/>
      <c r="O72" s="74"/>
      <c r="P72" s="74"/>
      <c r="Q72" s="74"/>
      <c r="R72" s="74"/>
      <c r="S72" s="74"/>
      <c r="T72" s="74"/>
      <c r="U72" s="74"/>
      <c r="V72" s="74"/>
      <c r="W72" s="74"/>
      <c r="X72" s="74"/>
      <c r="Y72" s="75"/>
      <c r="Z72" s="73"/>
      <c r="AA72" s="74"/>
      <c r="AB72" s="74"/>
      <c r="AC72" s="74"/>
      <c r="AD72" s="74"/>
      <c r="AE72" s="74"/>
      <c r="AF72" s="74"/>
      <c r="AG72" s="74"/>
      <c r="AH72" s="74"/>
      <c r="AI72" s="74"/>
      <c r="AJ72" s="74"/>
      <c r="AK72" s="74"/>
      <c r="AL72" s="74"/>
      <c r="AM72" s="74"/>
      <c r="AN72" s="74"/>
      <c r="AO72" s="74"/>
      <c r="AP72" s="74"/>
      <c r="AQ72" s="74"/>
      <c r="AR72" s="74"/>
      <c r="AS72" s="75"/>
      <c r="AT72" s="73"/>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5"/>
    </row>
    <row r="73" spans="1:73" ht="15.75" customHeight="1" x14ac:dyDescent="0.15">
      <c r="A73" s="7"/>
      <c r="B73" s="97">
        <v>8</v>
      </c>
      <c r="C73" s="145" t="str">
        <f>IF('INPUT DATA'!Q18="","",'INPUT DATA'!Q18)</f>
        <v/>
      </c>
      <c r="D73" s="139"/>
      <c r="E73" s="146"/>
      <c r="F73" s="147" t="str">
        <f>IF('INPUT DATA'!R18="","",'INPUT DATA'!R18)</f>
        <v/>
      </c>
      <c r="G73" s="146"/>
      <c r="H73" s="96" t="str">
        <f>IF('INPUT DATA'!S18="","",'INPUT DATA'!S18)</f>
        <v/>
      </c>
      <c r="I73" s="71" t="str">
        <f t="shared" si="4"/>
        <v/>
      </c>
      <c r="J73" s="71" t="str">
        <f t="shared" si="5"/>
        <v/>
      </c>
      <c r="K73" s="71" t="str">
        <f t="shared" si="6"/>
        <v/>
      </c>
      <c r="L73" s="71" t="str">
        <f t="shared" si="7"/>
        <v/>
      </c>
      <c r="M73" s="78" t="s">
        <v>51</v>
      </c>
      <c r="N73" s="73"/>
      <c r="O73" s="74"/>
      <c r="P73" s="74"/>
      <c r="Q73" s="74"/>
      <c r="R73" s="74"/>
      <c r="S73" s="74"/>
      <c r="T73" s="74"/>
      <c r="U73" s="74"/>
      <c r="V73" s="74"/>
      <c r="W73" s="74"/>
      <c r="X73" s="74"/>
      <c r="Y73" s="75"/>
      <c r="Z73" s="73"/>
      <c r="AA73" s="74"/>
      <c r="AB73" s="74"/>
      <c r="AC73" s="74"/>
      <c r="AD73" s="74"/>
      <c r="AE73" s="74"/>
      <c r="AF73" s="74"/>
      <c r="AG73" s="74"/>
      <c r="AH73" s="74"/>
      <c r="AI73" s="74"/>
      <c r="AJ73" s="74"/>
      <c r="AK73" s="74"/>
      <c r="AL73" s="74"/>
      <c r="AM73" s="74"/>
      <c r="AN73" s="74"/>
      <c r="AO73" s="74"/>
      <c r="AP73" s="74"/>
      <c r="AQ73" s="74"/>
      <c r="AR73" s="74"/>
      <c r="AS73" s="75"/>
      <c r="AT73" s="73"/>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5"/>
    </row>
    <row r="74" spans="1:73" ht="15.75" customHeight="1" x14ac:dyDescent="0.15">
      <c r="A74" s="7"/>
      <c r="B74" s="97">
        <v>9</v>
      </c>
      <c r="C74" s="145" t="str">
        <f>IF('INPUT DATA'!Q19="","",'INPUT DATA'!Q19)</f>
        <v/>
      </c>
      <c r="D74" s="139"/>
      <c r="E74" s="146"/>
      <c r="F74" s="147" t="str">
        <f>IF('INPUT DATA'!R19="","",'INPUT DATA'!R19)</f>
        <v/>
      </c>
      <c r="G74" s="146"/>
      <c r="H74" s="96" t="str">
        <f>IF('INPUT DATA'!S19="","",'INPUT DATA'!S19)</f>
        <v/>
      </c>
      <c r="I74" s="71" t="str">
        <f t="shared" si="4"/>
        <v/>
      </c>
      <c r="J74" s="71" t="str">
        <f t="shared" si="5"/>
        <v/>
      </c>
      <c r="K74" s="71" t="str">
        <f t="shared" si="6"/>
        <v/>
      </c>
      <c r="L74" s="71" t="str">
        <f t="shared" si="7"/>
        <v/>
      </c>
      <c r="M74" s="78" t="s">
        <v>51</v>
      </c>
      <c r="N74" s="73"/>
      <c r="O74" s="74"/>
      <c r="P74" s="74"/>
      <c r="Q74" s="74"/>
      <c r="R74" s="74"/>
      <c r="S74" s="74"/>
      <c r="T74" s="74"/>
      <c r="U74" s="74"/>
      <c r="V74" s="74"/>
      <c r="W74" s="74"/>
      <c r="X74" s="74"/>
      <c r="Y74" s="75"/>
      <c r="Z74" s="73"/>
      <c r="AA74" s="74"/>
      <c r="AB74" s="74"/>
      <c r="AC74" s="74"/>
      <c r="AD74" s="74"/>
      <c r="AE74" s="74"/>
      <c r="AF74" s="74"/>
      <c r="AG74" s="74"/>
      <c r="AH74" s="74"/>
      <c r="AI74" s="74"/>
      <c r="AJ74" s="74"/>
      <c r="AK74" s="74"/>
      <c r="AL74" s="74"/>
      <c r="AM74" s="74"/>
      <c r="AN74" s="74"/>
      <c r="AO74" s="74"/>
      <c r="AP74" s="74"/>
      <c r="AQ74" s="74"/>
      <c r="AR74" s="74"/>
      <c r="AS74" s="75"/>
      <c r="AT74" s="73"/>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5"/>
    </row>
    <row r="75" spans="1:73" ht="15.75" customHeight="1" x14ac:dyDescent="0.15">
      <c r="A75" s="7"/>
      <c r="B75" s="97">
        <v>10</v>
      </c>
      <c r="C75" s="145" t="str">
        <f>IF('INPUT DATA'!Q20="","",'INPUT DATA'!Q20)</f>
        <v/>
      </c>
      <c r="D75" s="139"/>
      <c r="E75" s="146"/>
      <c r="F75" s="147" t="str">
        <f>IF('INPUT DATA'!R20="","",'INPUT DATA'!R20)</f>
        <v/>
      </c>
      <c r="G75" s="146"/>
      <c r="H75" s="96" t="str">
        <f>IF('INPUT DATA'!S20="","",'INPUT DATA'!S20)</f>
        <v/>
      </c>
      <c r="I75" s="71" t="str">
        <f t="shared" si="4"/>
        <v/>
      </c>
      <c r="J75" s="71" t="str">
        <f t="shared" si="5"/>
        <v/>
      </c>
      <c r="K75" s="71" t="str">
        <f t="shared" si="6"/>
        <v/>
      </c>
      <c r="L75" s="71" t="str">
        <f t="shared" si="7"/>
        <v/>
      </c>
      <c r="M75" s="78" t="s">
        <v>51</v>
      </c>
      <c r="N75" s="73"/>
      <c r="O75" s="74"/>
      <c r="P75" s="74"/>
      <c r="Q75" s="74"/>
      <c r="R75" s="74"/>
      <c r="S75" s="74"/>
      <c r="T75" s="74"/>
      <c r="U75" s="74"/>
      <c r="V75" s="74"/>
      <c r="W75" s="74"/>
      <c r="X75" s="74"/>
      <c r="Y75" s="75"/>
      <c r="Z75" s="73"/>
      <c r="AA75" s="74"/>
      <c r="AB75" s="74"/>
      <c r="AC75" s="74"/>
      <c r="AD75" s="74"/>
      <c r="AE75" s="74"/>
      <c r="AF75" s="74"/>
      <c r="AG75" s="74"/>
      <c r="AH75" s="74"/>
      <c r="AI75" s="74"/>
      <c r="AJ75" s="74"/>
      <c r="AK75" s="74"/>
      <c r="AL75" s="74"/>
      <c r="AM75" s="74"/>
      <c r="AN75" s="74"/>
      <c r="AO75" s="74"/>
      <c r="AP75" s="74"/>
      <c r="AQ75" s="74"/>
      <c r="AR75" s="74"/>
      <c r="AS75" s="75"/>
      <c r="AT75" s="73"/>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5"/>
    </row>
    <row r="76" spans="1:73" ht="15.75" customHeight="1" x14ac:dyDescent="0.15">
      <c r="A76" s="7"/>
      <c r="B76" s="97">
        <v>11</v>
      </c>
      <c r="C76" s="145" t="str">
        <f>IF('INPUT DATA'!Q21="","",'INPUT DATA'!Q21)</f>
        <v/>
      </c>
      <c r="D76" s="139"/>
      <c r="E76" s="146"/>
      <c r="F76" s="147" t="str">
        <f>IF('INPUT DATA'!R21="","",'INPUT DATA'!R21)</f>
        <v/>
      </c>
      <c r="G76" s="146"/>
      <c r="H76" s="96" t="str">
        <f>IF('INPUT DATA'!S21="","",'INPUT DATA'!S21)</f>
        <v/>
      </c>
      <c r="I76" s="71" t="str">
        <f t="shared" si="4"/>
        <v/>
      </c>
      <c r="J76" s="71" t="str">
        <f t="shared" si="5"/>
        <v/>
      </c>
      <c r="K76" s="71" t="str">
        <f t="shared" si="6"/>
        <v/>
      </c>
      <c r="L76" s="71" t="str">
        <f t="shared" si="7"/>
        <v/>
      </c>
      <c r="M76" s="78" t="s">
        <v>51</v>
      </c>
      <c r="N76" s="73"/>
      <c r="O76" s="74"/>
      <c r="P76" s="74"/>
      <c r="Q76" s="74"/>
      <c r="R76" s="74"/>
      <c r="S76" s="74"/>
      <c r="T76" s="74"/>
      <c r="U76" s="74"/>
      <c r="V76" s="74"/>
      <c r="W76" s="74"/>
      <c r="X76" s="74"/>
      <c r="Y76" s="75"/>
      <c r="Z76" s="73"/>
      <c r="AA76" s="74"/>
      <c r="AB76" s="74"/>
      <c r="AC76" s="74"/>
      <c r="AD76" s="74"/>
      <c r="AE76" s="74"/>
      <c r="AF76" s="74"/>
      <c r="AG76" s="74"/>
      <c r="AH76" s="74"/>
      <c r="AI76" s="74"/>
      <c r="AJ76" s="74"/>
      <c r="AK76" s="74"/>
      <c r="AL76" s="74"/>
      <c r="AM76" s="74"/>
      <c r="AN76" s="74"/>
      <c r="AO76" s="74"/>
      <c r="AP76" s="74"/>
      <c r="AQ76" s="74"/>
      <c r="AR76" s="74"/>
      <c r="AS76" s="75"/>
      <c r="AT76" s="73"/>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5"/>
    </row>
    <row r="77" spans="1:73" ht="15.75" customHeight="1" x14ac:dyDescent="0.15">
      <c r="A77" s="7"/>
      <c r="B77" s="97">
        <v>12</v>
      </c>
      <c r="C77" s="145" t="str">
        <f>IF('INPUT DATA'!Q22="","",'INPUT DATA'!Q22)</f>
        <v/>
      </c>
      <c r="D77" s="139"/>
      <c r="E77" s="146"/>
      <c r="F77" s="147" t="str">
        <f>IF('INPUT DATA'!R22="","",'INPUT DATA'!R22)</f>
        <v/>
      </c>
      <c r="G77" s="146"/>
      <c r="H77" s="96" t="str">
        <f>IF('INPUT DATA'!S22="","",'INPUT DATA'!S22)</f>
        <v/>
      </c>
      <c r="I77" s="71" t="str">
        <f t="shared" si="4"/>
        <v/>
      </c>
      <c r="J77" s="71" t="str">
        <f t="shared" si="5"/>
        <v/>
      </c>
      <c r="K77" s="71" t="str">
        <f t="shared" si="6"/>
        <v/>
      </c>
      <c r="L77" s="71" t="str">
        <f t="shared" si="7"/>
        <v/>
      </c>
      <c r="M77" s="78" t="s">
        <v>51</v>
      </c>
      <c r="N77" s="73"/>
      <c r="O77" s="74"/>
      <c r="P77" s="74"/>
      <c r="Q77" s="74"/>
      <c r="R77" s="74"/>
      <c r="S77" s="74"/>
      <c r="T77" s="74"/>
      <c r="U77" s="74"/>
      <c r="V77" s="74"/>
      <c r="W77" s="74"/>
      <c r="X77" s="74"/>
      <c r="Y77" s="75"/>
      <c r="Z77" s="73"/>
      <c r="AA77" s="74"/>
      <c r="AB77" s="74"/>
      <c r="AC77" s="74"/>
      <c r="AD77" s="74"/>
      <c r="AE77" s="74"/>
      <c r="AF77" s="74"/>
      <c r="AG77" s="74"/>
      <c r="AH77" s="74"/>
      <c r="AI77" s="74"/>
      <c r="AJ77" s="74"/>
      <c r="AK77" s="74"/>
      <c r="AL77" s="74"/>
      <c r="AM77" s="74"/>
      <c r="AN77" s="74"/>
      <c r="AO77" s="74"/>
      <c r="AP77" s="74"/>
      <c r="AQ77" s="74"/>
      <c r="AR77" s="74"/>
      <c r="AS77" s="75"/>
      <c r="AT77" s="73"/>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5"/>
    </row>
    <row r="78" spans="1:73" ht="15.75" customHeight="1" x14ac:dyDescent="0.15">
      <c r="A78" s="7"/>
      <c r="B78" s="97">
        <v>13</v>
      </c>
      <c r="C78" s="145" t="str">
        <f>IF('INPUT DATA'!Q23="","",'INPUT DATA'!Q23)</f>
        <v/>
      </c>
      <c r="D78" s="139"/>
      <c r="E78" s="146"/>
      <c r="F78" s="147" t="str">
        <f>IF('INPUT DATA'!R23="","",'INPUT DATA'!R23)</f>
        <v/>
      </c>
      <c r="G78" s="146"/>
      <c r="H78" s="96" t="str">
        <f>IF('INPUT DATA'!S23="","",'INPUT DATA'!S23)</f>
        <v/>
      </c>
      <c r="I78" s="71" t="str">
        <f t="shared" si="4"/>
        <v/>
      </c>
      <c r="J78" s="71" t="str">
        <f t="shared" si="5"/>
        <v/>
      </c>
      <c r="K78" s="71" t="str">
        <f t="shared" si="6"/>
        <v/>
      </c>
      <c r="L78" s="71" t="str">
        <f t="shared" si="7"/>
        <v/>
      </c>
      <c r="M78" s="78" t="s">
        <v>51</v>
      </c>
      <c r="N78" s="73"/>
      <c r="O78" s="74"/>
      <c r="P78" s="74"/>
      <c r="Q78" s="74"/>
      <c r="R78" s="74"/>
      <c r="S78" s="74"/>
      <c r="T78" s="74"/>
      <c r="U78" s="74"/>
      <c r="V78" s="74"/>
      <c r="W78" s="74"/>
      <c r="X78" s="74"/>
      <c r="Y78" s="75"/>
      <c r="Z78" s="73"/>
      <c r="AA78" s="74"/>
      <c r="AB78" s="74"/>
      <c r="AC78" s="74"/>
      <c r="AD78" s="74"/>
      <c r="AE78" s="74"/>
      <c r="AF78" s="74"/>
      <c r="AG78" s="74"/>
      <c r="AH78" s="74"/>
      <c r="AI78" s="74"/>
      <c r="AJ78" s="74"/>
      <c r="AK78" s="74"/>
      <c r="AL78" s="74"/>
      <c r="AM78" s="74"/>
      <c r="AN78" s="74"/>
      <c r="AO78" s="74"/>
      <c r="AP78" s="74"/>
      <c r="AQ78" s="74"/>
      <c r="AR78" s="74"/>
      <c r="AS78" s="75"/>
      <c r="AT78" s="73"/>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5"/>
    </row>
    <row r="79" spans="1:73" ht="15.75" customHeight="1" x14ac:dyDescent="0.15">
      <c r="A79" s="7"/>
      <c r="B79" s="97">
        <v>14</v>
      </c>
      <c r="C79" s="145" t="str">
        <f>IF('INPUT DATA'!Q24="","",'INPUT DATA'!Q24)</f>
        <v/>
      </c>
      <c r="D79" s="139"/>
      <c r="E79" s="146"/>
      <c r="F79" s="147" t="str">
        <f>IF('INPUT DATA'!R24="","",'INPUT DATA'!R24)</f>
        <v/>
      </c>
      <c r="G79" s="146"/>
      <c r="H79" s="96" t="str">
        <f>IF('INPUT DATA'!S24="","",'INPUT DATA'!S24)</f>
        <v/>
      </c>
      <c r="I79" s="71" t="str">
        <f t="shared" si="4"/>
        <v/>
      </c>
      <c r="J79" s="71" t="str">
        <f t="shared" si="5"/>
        <v/>
      </c>
      <c r="K79" s="71" t="str">
        <f t="shared" si="6"/>
        <v/>
      </c>
      <c r="L79" s="71" t="str">
        <f t="shared" si="7"/>
        <v/>
      </c>
      <c r="M79" s="78" t="s">
        <v>51</v>
      </c>
      <c r="N79" s="73"/>
      <c r="O79" s="74"/>
      <c r="P79" s="74"/>
      <c r="Q79" s="74"/>
      <c r="R79" s="74"/>
      <c r="S79" s="74"/>
      <c r="T79" s="74"/>
      <c r="U79" s="74"/>
      <c r="V79" s="74"/>
      <c r="W79" s="74"/>
      <c r="X79" s="74"/>
      <c r="Y79" s="75"/>
      <c r="Z79" s="73"/>
      <c r="AA79" s="74"/>
      <c r="AB79" s="74"/>
      <c r="AC79" s="74"/>
      <c r="AD79" s="74"/>
      <c r="AE79" s="74"/>
      <c r="AF79" s="74"/>
      <c r="AG79" s="74"/>
      <c r="AH79" s="74"/>
      <c r="AI79" s="74"/>
      <c r="AJ79" s="74"/>
      <c r="AK79" s="74"/>
      <c r="AL79" s="74"/>
      <c r="AM79" s="74"/>
      <c r="AN79" s="74"/>
      <c r="AO79" s="74"/>
      <c r="AP79" s="74"/>
      <c r="AQ79" s="74"/>
      <c r="AR79" s="74"/>
      <c r="AS79" s="75"/>
      <c r="AT79" s="73"/>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5"/>
    </row>
    <row r="80" spans="1:73" ht="15.75" customHeight="1" x14ac:dyDescent="0.15">
      <c r="A80" s="7"/>
      <c r="B80" s="97">
        <v>15</v>
      </c>
      <c r="C80" s="145" t="str">
        <f>IF('INPUT DATA'!Q25="","",'INPUT DATA'!Q25)</f>
        <v/>
      </c>
      <c r="D80" s="139"/>
      <c r="E80" s="146"/>
      <c r="F80" s="147" t="str">
        <f>IF('INPUT DATA'!R25="","",'INPUT DATA'!R25)</f>
        <v/>
      </c>
      <c r="G80" s="146"/>
      <c r="H80" s="96" t="str">
        <f>IF('INPUT DATA'!S25="","",'INPUT DATA'!S25)</f>
        <v/>
      </c>
      <c r="I80" s="71" t="str">
        <f t="shared" si="4"/>
        <v/>
      </c>
      <c r="J80" s="71" t="str">
        <f t="shared" si="5"/>
        <v/>
      </c>
      <c r="K80" s="71" t="str">
        <f t="shared" si="6"/>
        <v/>
      </c>
      <c r="L80" s="71" t="str">
        <f t="shared" si="7"/>
        <v/>
      </c>
      <c r="M80" s="78" t="s">
        <v>51</v>
      </c>
      <c r="N80" s="73"/>
      <c r="O80" s="74"/>
      <c r="P80" s="74"/>
      <c r="Q80" s="74"/>
      <c r="R80" s="74"/>
      <c r="S80" s="74"/>
      <c r="T80" s="74"/>
      <c r="U80" s="74"/>
      <c r="V80" s="74"/>
      <c r="W80" s="74"/>
      <c r="X80" s="74"/>
      <c r="Y80" s="75"/>
      <c r="Z80" s="73"/>
      <c r="AA80" s="74"/>
      <c r="AB80" s="74"/>
      <c r="AC80" s="74"/>
      <c r="AD80" s="74"/>
      <c r="AE80" s="74"/>
      <c r="AF80" s="74"/>
      <c r="AG80" s="74"/>
      <c r="AH80" s="74"/>
      <c r="AI80" s="74"/>
      <c r="AJ80" s="74"/>
      <c r="AK80" s="74"/>
      <c r="AL80" s="74"/>
      <c r="AM80" s="74"/>
      <c r="AN80" s="74"/>
      <c r="AO80" s="74"/>
      <c r="AP80" s="74"/>
      <c r="AQ80" s="74"/>
      <c r="AR80" s="74"/>
      <c r="AS80" s="75"/>
      <c r="AT80" s="73"/>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5"/>
    </row>
    <row r="81" spans="1:73" ht="15.75" customHeight="1" x14ac:dyDescent="0.15">
      <c r="A81" s="7"/>
      <c r="B81" s="97">
        <v>16</v>
      </c>
      <c r="C81" s="145" t="str">
        <f>IF('INPUT DATA'!Q26="","",'INPUT DATA'!Q26)</f>
        <v/>
      </c>
      <c r="D81" s="139"/>
      <c r="E81" s="146"/>
      <c r="F81" s="147" t="str">
        <f>IF('INPUT DATA'!R26="","",'INPUT DATA'!R26)</f>
        <v/>
      </c>
      <c r="G81" s="146"/>
      <c r="H81" s="96" t="str">
        <f>IF('INPUT DATA'!S26="","",'INPUT DATA'!S26)</f>
        <v/>
      </c>
      <c r="I81" s="71" t="str">
        <f t="shared" si="4"/>
        <v/>
      </c>
      <c r="J81" s="71" t="str">
        <f t="shared" si="5"/>
        <v/>
      </c>
      <c r="K81" s="71" t="str">
        <f t="shared" si="6"/>
        <v/>
      </c>
      <c r="L81" s="71" t="str">
        <f t="shared" si="7"/>
        <v/>
      </c>
      <c r="M81" s="78" t="s">
        <v>51</v>
      </c>
      <c r="N81" s="73"/>
      <c r="O81" s="74"/>
      <c r="P81" s="74"/>
      <c r="Q81" s="74"/>
      <c r="R81" s="74"/>
      <c r="S81" s="74"/>
      <c r="T81" s="74"/>
      <c r="U81" s="74"/>
      <c r="V81" s="74"/>
      <c r="W81" s="74"/>
      <c r="X81" s="74"/>
      <c r="Y81" s="75"/>
      <c r="Z81" s="73"/>
      <c r="AA81" s="74"/>
      <c r="AB81" s="74"/>
      <c r="AC81" s="74"/>
      <c r="AD81" s="74"/>
      <c r="AE81" s="74"/>
      <c r="AF81" s="74"/>
      <c r="AG81" s="74"/>
      <c r="AH81" s="74"/>
      <c r="AI81" s="74"/>
      <c r="AJ81" s="74"/>
      <c r="AK81" s="74"/>
      <c r="AL81" s="74"/>
      <c r="AM81" s="74"/>
      <c r="AN81" s="74"/>
      <c r="AO81" s="74"/>
      <c r="AP81" s="74"/>
      <c r="AQ81" s="74"/>
      <c r="AR81" s="74"/>
      <c r="AS81" s="75"/>
      <c r="AT81" s="73"/>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5"/>
    </row>
    <row r="82" spans="1:73" ht="15.75" customHeight="1" x14ac:dyDescent="0.15">
      <c r="A82" s="7"/>
      <c r="B82" s="97">
        <v>17</v>
      </c>
      <c r="C82" s="145" t="str">
        <f>IF('INPUT DATA'!Q27="","",'INPUT DATA'!Q27)</f>
        <v/>
      </c>
      <c r="D82" s="139"/>
      <c r="E82" s="146"/>
      <c r="F82" s="147" t="str">
        <f>IF('INPUT DATA'!R27="","",'INPUT DATA'!R27)</f>
        <v/>
      </c>
      <c r="G82" s="146"/>
      <c r="H82" s="96" t="str">
        <f>IF('INPUT DATA'!S27="","",'INPUT DATA'!S27)</f>
        <v/>
      </c>
      <c r="I82" s="71" t="str">
        <f t="shared" si="4"/>
        <v/>
      </c>
      <c r="J82" s="71" t="str">
        <f t="shared" si="5"/>
        <v/>
      </c>
      <c r="K82" s="71" t="str">
        <f t="shared" si="6"/>
        <v/>
      </c>
      <c r="L82" s="71" t="str">
        <f t="shared" si="7"/>
        <v/>
      </c>
      <c r="M82" s="78" t="s">
        <v>51</v>
      </c>
      <c r="N82" s="73"/>
      <c r="O82" s="74"/>
      <c r="P82" s="74"/>
      <c r="Q82" s="74"/>
      <c r="R82" s="74"/>
      <c r="S82" s="74"/>
      <c r="T82" s="74"/>
      <c r="U82" s="74"/>
      <c r="V82" s="74"/>
      <c r="W82" s="74"/>
      <c r="X82" s="74"/>
      <c r="Y82" s="75"/>
      <c r="Z82" s="73"/>
      <c r="AA82" s="74"/>
      <c r="AB82" s="74"/>
      <c r="AC82" s="74"/>
      <c r="AD82" s="74"/>
      <c r="AE82" s="74"/>
      <c r="AF82" s="74"/>
      <c r="AG82" s="74"/>
      <c r="AH82" s="74"/>
      <c r="AI82" s="74"/>
      <c r="AJ82" s="74"/>
      <c r="AK82" s="74"/>
      <c r="AL82" s="74"/>
      <c r="AM82" s="74"/>
      <c r="AN82" s="74"/>
      <c r="AO82" s="74"/>
      <c r="AP82" s="74"/>
      <c r="AQ82" s="74"/>
      <c r="AR82" s="74"/>
      <c r="AS82" s="75"/>
      <c r="AT82" s="73"/>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5"/>
    </row>
    <row r="83" spans="1:73" ht="15.75" customHeight="1" x14ac:dyDescent="0.15">
      <c r="A83" s="7"/>
      <c r="B83" s="97">
        <v>18</v>
      </c>
      <c r="C83" s="145" t="str">
        <f>IF('INPUT DATA'!Q28="","",'INPUT DATA'!Q28)</f>
        <v/>
      </c>
      <c r="D83" s="139"/>
      <c r="E83" s="146"/>
      <c r="F83" s="147" t="str">
        <f>IF('INPUT DATA'!R28="","",'INPUT DATA'!R28)</f>
        <v/>
      </c>
      <c r="G83" s="146"/>
      <c r="H83" s="96" t="str">
        <f>IF('INPUT DATA'!S28="","",'INPUT DATA'!S28)</f>
        <v/>
      </c>
      <c r="I83" s="71" t="str">
        <f t="shared" si="4"/>
        <v/>
      </c>
      <c r="J83" s="71" t="str">
        <f t="shared" si="5"/>
        <v/>
      </c>
      <c r="K83" s="71" t="str">
        <f t="shared" si="6"/>
        <v/>
      </c>
      <c r="L83" s="71" t="str">
        <f t="shared" si="7"/>
        <v/>
      </c>
      <c r="M83" s="78" t="s">
        <v>51</v>
      </c>
      <c r="N83" s="73"/>
      <c r="O83" s="74"/>
      <c r="P83" s="74"/>
      <c r="Q83" s="74"/>
      <c r="R83" s="74"/>
      <c r="S83" s="74"/>
      <c r="T83" s="74"/>
      <c r="U83" s="74"/>
      <c r="V83" s="74"/>
      <c r="W83" s="74"/>
      <c r="X83" s="74"/>
      <c r="Y83" s="75"/>
      <c r="Z83" s="73"/>
      <c r="AA83" s="74"/>
      <c r="AB83" s="74"/>
      <c r="AC83" s="74"/>
      <c r="AD83" s="74"/>
      <c r="AE83" s="74"/>
      <c r="AF83" s="74"/>
      <c r="AG83" s="74"/>
      <c r="AH83" s="74"/>
      <c r="AI83" s="74"/>
      <c r="AJ83" s="74"/>
      <c r="AK83" s="74"/>
      <c r="AL83" s="74"/>
      <c r="AM83" s="74"/>
      <c r="AN83" s="74"/>
      <c r="AO83" s="74"/>
      <c r="AP83" s="74"/>
      <c r="AQ83" s="74"/>
      <c r="AR83" s="74"/>
      <c r="AS83" s="75"/>
      <c r="AT83" s="73"/>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5"/>
    </row>
    <row r="84" spans="1:73" ht="15.75" customHeight="1" x14ac:dyDescent="0.15">
      <c r="A84" s="7"/>
      <c r="B84" s="97">
        <v>19</v>
      </c>
      <c r="C84" s="145" t="str">
        <f>IF('INPUT DATA'!Q29="","",'INPUT DATA'!Q29)</f>
        <v/>
      </c>
      <c r="D84" s="139"/>
      <c r="E84" s="146"/>
      <c r="F84" s="147" t="str">
        <f>IF('INPUT DATA'!R29="","",'INPUT DATA'!R29)</f>
        <v/>
      </c>
      <c r="G84" s="146"/>
      <c r="H84" s="96" t="str">
        <f>IF('INPUT DATA'!S29="","",'INPUT DATA'!S29)</f>
        <v/>
      </c>
      <c r="I84" s="71" t="str">
        <f t="shared" si="4"/>
        <v/>
      </c>
      <c r="J84" s="71" t="str">
        <f t="shared" si="5"/>
        <v/>
      </c>
      <c r="K84" s="71" t="str">
        <f t="shared" si="6"/>
        <v/>
      </c>
      <c r="L84" s="71" t="str">
        <f t="shared" si="7"/>
        <v/>
      </c>
      <c r="M84" s="78" t="s">
        <v>51</v>
      </c>
      <c r="N84" s="73"/>
      <c r="O84" s="74"/>
      <c r="P84" s="74"/>
      <c r="Q84" s="74"/>
      <c r="R84" s="74"/>
      <c r="S84" s="74"/>
      <c r="T84" s="74"/>
      <c r="U84" s="74"/>
      <c r="V84" s="74"/>
      <c r="W84" s="74"/>
      <c r="X84" s="74"/>
      <c r="Y84" s="75"/>
      <c r="Z84" s="73"/>
      <c r="AA84" s="74"/>
      <c r="AB84" s="74"/>
      <c r="AC84" s="74"/>
      <c r="AD84" s="74"/>
      <c r="AE84" s="74"/>
      <c r="AF84" s="74"/>
      <c r="AG84" s="74"/>
      <c r="AH84" s="74"/>
      <c r="AI84" s="74"/>
      <c r="AJ84" s="74"/>
      <c r="AK84" s="74"/>
      <c r="AL84" s="74"/>
      <c r="AM84" s="74"/>
      <c r="AN84" s="74"/>
      <c r="AO84" s="74"/>
      <c r="AP84" s="74"/>
      <c r="AQ84" s="74"/>
      <c r="AR84" s="74"/>
      <c r="AS84" s="75"/>
      <c r="AT84" s="73"/>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5"/>
    </row>
    <row r="85" spans="1:73" ht="15.75" customHeight="1" x14ac:dyDescent="0.15">
      <c r="A85" s="7"/>
      <c r="B85" s="97">
        <v>20</v>
      </c>
      <c r="C85" s="145" t="str">
        <f>IF('INPUT DATA'!Q30="","",'INPUT DATA'!Q30)</f>
        <v/>
      </c>
      <c r="D85" s="139"/>
      <c r="E85" s="146"/>
      <c r="F85" s="147" t="str">
        <f>IF('INPUT DATA'!R30="","",'INPUT DATA'!R30)</f>
        <v/>
      </c>
      <c r="G85" s="146"/>
      <c r="H85" s="96" t="str">
        <f>IF('INPUT DATA'!S30="","",'INPUT DATA'!S30)</f>
        <v/>
      </c>
      <c r="I85" s="71" t="str">
        <f t="shared" si="4"/>
        <v/>
      </c>
      <c r="J85" s="71" t="str">
        <f t="shared" si="5"/>
        <v/>
      </c>
      <c r="K85" s="71" t="str">
        <f t="shared" si="6"/>
        <v/>
      </c>
      <c r="L85" s="71" t="str">
        <f t="shared" si="7"/>
        <v/>
      </c>
      <c r="M85" s="78" t="s">
        <v>51</v>
      </c>
      <c r="N85" s="73"/>
      <c r="O85" s="74"/>
      <c r="P85" s="74"/>
      <c r="Q85" s="74"/>
      <c r="R85" s="74"/>
      <c r="S85" s="74"/>
      <c r="T85" s="74"/>
      <c r="U85" s="74"/>
      <c r="V85" s="74"/>
      <c r="W85" s="74"/>
      <c r="X85" s="74"/>
      <c r="Y85" s="75"/>
      <c r="Z85" s="73"/>
      <c r="AA85" s="74"/>
      <c r="AB85" s="74"/>
      <c r="AC85" s="74"/>
      <c r="AD85" s="74"/>
      <c r="AE85" s="74"/>
      <c r="AF85" s="74"/>
      <c r="AG85" s="74"/>
      <c r="AH85" s="74"/>
      <c r="AI85" s="74"/>
      <c r="AJ85" s="74"/>
      <c r="AK85" s="74"/>
      <c r="AL85" s="74"/>
      <c r="AM85" s="74"/>
      <c r="AN85" s="74"/>
      <c r="AO85" s="74"/>
      <c r="AP85" s="74"/>
      <c r="AQ85" s="74"/>
      <c r="AR85" s="74"/>
      <c r="AS85" s="75"/>
      <c r="AT85" s="73"/>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5"/>
    </row>
    <row r="86" spans="1:73" ht="15.75" customHeight="1" x14ac:dyDescent="0.15">
      <c r="A86" s="7"/>
      <c r="B86" s="97">
        <v>21</v>
      </c>
      <c r="C86" s="145" t="str">
        <f>IF('INPUT DATA'!Q31="","",'INPUT DATA'!Q31)</f>
        <v/>
      </c>
      <c r="D86" s="139"/>
      <c r="E86" s="146"/>
      <c r="F86" s="147" t="str">
        <f>IF('INPUT DATA'!R31="","",'INPUT DATA'!R31)</f>
        <v/>
      </c>
      <c r="G86" s="146"/>
      <c r="H86" s="96" t="str">
        <f>IF('INPUT DATA'!S31="","",'INPUT DATA'!S31)</f>
        <v/>
      </c>
      <c r="I86" s="71" t="str">
        <f t="shared" si="4"/>
        <v/>
      </c>
      <c r="J86" s="71" t="str">
        <f t="shared" si="5"/>
        <v/>
      </c>
      <c r="K86" s="71" t="str">
        <f t="shared" si="6"/>
        <v/>
      </c>
      <c r="L86" s="71" t="str">
        <f t="shared" si="7"/>
        <v/>
      </c>
      <c r="M86" s="78" t="s">
        <v>51</v>
      </c>
      <c r="N86" s="73"/>
      <c r="O86" s="74"/>
      <c r="P86" s="74"/>
      <c r="Q86" s="74"/>
      <c r="R86" s="74"/>
      <c r="S86" s="74"/>
      <c r="T86" s="74"/>
      <c r="U86" s="74"/>
      <c r="V86" s="74"/>
      <c r="W86" s="74"/>
      <c r="X86" s="74"/>
      <c r="Y86" s="75"/>
      <c r="Z86" s="73"/>
      <c r="AA86" s="74"/>
      <c r="AB86" s="74"/>
      <c r="AC86" s="74"/>
      <c r="AD86" s="74"/>
      <c r="AE86" s="74"/>
      <c r="AF86" s="74"/>
      <c r="AG86" s="74"/>
      <c r="AH86" s="74"/>
      <c r="AI86" s="74"/>
      <c r="AJ86" s="74"/>
      <c r="AK86" s="74"/>
      <c r="AL86" s="74"/>
      <c r="AM86" s="74"/>
      <c r="AN86" s="74"/>
      <c r="AO86" s="74"/>
      <c r="AP86" s="74"/>
      <c r="AQ86" s="74"/>
      <c r="AR86" s="74"/>
      <c r="AS86" s="75"/>
      <c r="AT86" s="73"/>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5"/>
    </row>
    <row r="87" spans="1:73" ht="15.75" customHeight="1" x14ac:dyDescent="0.15">
      <c r="A87" s="7"/>
      <c r="B87" s="97">
        <v>22</v>
      </c>
      <c r="C87" s="145" t="str">
        <f>IF('INPUT DATA'!Q32="","",'INPUT DATA'!Q32)</f>
        <v/>
      </c>
      <c r="D87" s="139"/>
      <c r="E87" s="146"/>
      <c r="F87" s="147" t="str">
        <f>IF('INPUT DATA'!R32="","",'INPUT DATA'!R32)</f>
        <v/>
      </c>
      <c r="G87" s="146"/>
      <c r="H87" s="96" t="str">
        <f>IF('INPUT DATA'!S32="","",'INPUT DATA'!S32)</f>
        <v/>
      </c>
      <c r="I87" s="71" t="str">
        <f t="shared" si="4"/>
        <v/>
      </c>
      <c r="J87" s="71" t="str">
        <f t="shared" si="5"/>
        <v/>
      </c>
      <c r="K87" s="71" t="str">
        <f t="shared" si="6"/>
        <v/>
      </c>
      <c r="L87" s="71" t="str">
        <f t="shared" si="7"/>
        <v/>
      </c>
      <c r="M87" s="78" t="s">
        <v>51</v>
      </c>
      <c r="N87" s="73"/>
      <c r="O87" s="74"/>
      <c r="P87" s="74"/>
      <c r="Q87" s="74"/>
      <c r="R87" s="74"/>
      <c r="S87" s="74"/>
      <c r="T87" s="74"/>
      <c r="U87" s="74"/>
      <c r="V87" s="74"/>
      <c r="W87" s="74"/>
      <c r="X87" s="74"/>
      <c r="Y87" s="75"/>
      <c r="Z87" s="73"/>
      <c r="AA87" s="74"/>
      <c r="AB87" s="74"/>
      <c r="AC87" s="74"/>
      <c r="AD87" s="74"/>
      <c r="AE87" s="74"/>
      <c r="AF87" s="74"/>
      <c r="AG87" s="74"/>
      <c r="AH87" s="74"/>
      <c r="AI87" s="74"/>
      <c r="AJ87" s="74"/>
      <c r="AK87" s="74"/>
      <c r="AL87" s="74"/>
      <c r="AM87" s="74"/>
      <c r="AN87" s="74"/>
      <c r="AO87" s="74"/>
      <c r="AP87" s="74"/>
      <c r="AQ87" s="74"/>
      <c r="AR87" s="74"/>
      <c r="AS87" s="75"/>
      <c r="AT87" s="73"/>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5"/>
    </row>
    <row r="88" spans="1:73" ht="15.75" customHeight="1" x14ac:dyDescent="0.15">
      <c r="A88" s="7"/>
      <c r="B88" s="97">
        <v>23</v>
      </c>
      <c r="C88" s="145" t="str">
        <f>IF('INPUT DATA'!Q33="","",'INPUT DATA'!Q33)</f>
        <v/>
      </c>
      <c r="D88" s="139"/>
      <c r="E88" s="146"/>
      <c r="F88" s="147" t="str">
        <f>IF('INPUT DATA'!R33="","",'INPUT DATA'!R33)</f>
        <v/>
      </c>
      <c r="G88" s="146"/>
      <c r="H88" s="96" t="str">
        <f>IF('INPUT DATA'!S33="","",'INPUT DATA'!S33)</f>
        <v/>
      </c>
      <c r="I88" s="71" t="str">
        <f t="shared" si="4"/>
        <v/>
      </c>
      <c r="J88" s="71" t="str">
        <f t="shared" si="5"/>
        <v/>
      </c>
      <c r="K88" s="71" t="str">
        <f t="shared" si="6"/>
        <v/>
      </c>
      <c r="L88" s="71" t="str">
        <f t="shared" si="7"/>
        <v/>
      </c>
      <c r="M88" s="78" t="s">
        <v>51</v>
      </c>
      <c r="N88" s="73"/>
      <c r="O88" s="74"/>
      <c r="P88" s="74"/>
      <c r="Q88" s="74"/>
      <c r="R88" s="74"/>
      <c r="S88" s="74"/>
      <c r="T88" s="74"/>
      <c r="U88" s="74"/>
      <c r="V88" s="74"/>
      <c r="W88" s="74"/>
      <c r="X88" s="74"/>
      <c r="Y88" s="75"/>
      <c r="Z88" s="73"/>
      <c r="AA88" s="74"/>
      <c r="AB88" s="74"/>
      <c r="AC88" s="74"/>
      <c r="AD88" s="74"/>
      <c r="AE88" s="74"/>
      <c r="AF88" s="74"/>
      <c r="AG88" s="74"/>
      <c r="AH88" s="74"/>
      <c r="AI88" s="74"/>
      <c r="AJ88" s="74"/>
      <c r="AK88" s="74"/>
      <c r="AL88" s="74"/>
      <c r="AM88" s="74"/>
      <c r="AN88" s="74"/>
      <c r="AO88" s="74"/>
      <c r="AP88" s="74"/>
      <c r="AQ88" s="74"/>
      <c r="AR88" s="74"/>
      <c r="AS88" s="75"/>
      <c r="AT88" s="73"/>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5"/>
    </row>
    <row r="89" spans="1:73" ht="15.75" customHeight="1" x14ac:dyDescent="0.15">
      <c r="A89" s="7"/>
      <c r="B89" s="97">
        <v>24</v>
      </c>
      <c r="C89" s="145" t="str">
        <f>IF('INPUT DATA'!Q34="","",'INPUT DATA'!Q34)</f>
        <v/>
      </c>
      <c r="D89" s="139"/>
      <c r="E89" s="146"/>
      <c r="F89" s="147" t="str">
        <f>IF('INPUT DATA'!R34="","",'INPUT DATA'!R34)</f>
        <v/>
      </c>
      <c r="G89" s="146"/>
      <c r="H89" s="96" t="str">
        <f>IF('INPUT DATA'!S34="","",'INPUT DATA'!S34)</f>
        <v/>
      </c>
      <c r="I89" s="71" t="str">
        <f t="shared" si="4"/>
        <v/>
      </c>
      <c r="J89" s="71" t="str">
        <f t="shared" si="5"/>
        <v/>
      </c>
      <c r="K89" s="71" t="str">
        <f t="shared" si="6"/>
        <v/>
      </c>
      <c r="L89" s="71" t="str">
        <f t="shared" si="7"/>
        <v/>
      </c>
      <c r="M89" s="78" t="s">
        <v>51</v>
      </c>
      <c r="N89" s="73"/>
      <c r="O89" s="74"/>
      <c r="P89" s="74"/>
      <c r="Q89" s="74"/>
      <c r="R89" s="74"/>
      <c r="S89" s="74"/>
      <c r="T89" s="74"/>
      <c r="U89" s="74"/>
      <c r="V89" s="74"/>
      <c r="W89" s="74"/>
      <c r="X89" s="74"/>
      <c r="Y89" s="75"/>
      <c r="Z89" s="73"/>
      <c r="AA89" s="74"/>
      <c r="AB89" s="74"/>
      <c r="AC89" s="74"/>
      <c r="AD89" s="74"/>
      <c r="AE89" s="74"/>
      <c r="AF89" s="74"/>
      <c r="AG89" s="74"/>
      <c r="AH89" s="74"/>
      <c r="AI89" s="74"/>
      <c r="AJ89" s="74"/>
      <c r="AK89" s="74"/>
      <c r="AL89" s="74"/>
      <c r="AM89" s="74"/>
      <c r="AN89" s="74"/>
      <c r="AO89" s="74"/>
      <c r="AP89" s="74"/>
      <c r="AQ89" s="74"/>
      <c r="AR89" s="74"/>
      <c r="AS89" s="75"/>
      <c r="AT89" s="73"/>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5"/>
    </row>
    <row r="90" spans="1:73" ht="15.75" customHeight="1" x14ac:dyDescent="0.15">
      <c r="A90" s="7"/>
      <c r="B90" s="97">
        <v>25</v>
      </c>
      <c r="C90" s="145" t="str">
        <f>IF('INPUT DATA'!Q35="","",'INPUT DATA'!Q35)</f>
        <v/>
      </c>
      <c r="D90" s="139"/>
      <c r="E90" s="146"/>
      <c r="F90" s="147" t="str">
        <f>IF('INPUT DATA'!R35="","",'INPUT DATA'!R35)</f>
        <v/>
      </c>
      <c r="G90" s="146"/>
      <c r="H90" s="96" t="str">
        <f>IF('INPUT DATA'!S35="","",'INPUT DATA'!S35)</f>
        <v/>
      </c>
      <c r="I90" s="71" t="str">
        <f t="shared" si="4"/>
        <v/>
      </c>
      <c r="J90" s="71" t="str">
        <f t="shared" si="5"/>
        <v/>
      </c>
      <c r="K90" s="71" t="str">
        <f t="shared" si="6"/>
        <v/>
      </c>
      <c r="L90" s="71" t="str">
        <f t="shared" si="7"/>
        <v/>
      </c>
      <c r="M90" s="78" t="s">
        <v>51</v>
      </c>
      <c r="N90" s="73"/>
      <c r="O90" s="74"/>
      <c r="P90" s="74"/>
      <c r="Q90" s="74"/>
      <c r="R90" s="74"/>
      <c r="S90" s="74"/>
      <c r="T90" s="74"/>
      <c r="U90" s="74"/>
      <c r="V90" s="74"/>
      <c r="W90" s="74"/>
      <c r="X90" s="74"/>
      <c r="Y90" s="75"/>
      <c r="Z90" s="73"/>
      <c r="AA90" s="74"/>
      <c r="AB90" s="74"/>
      <c r="AC90" s="74"/>
      <c r="AD90" s="74"/>
      <c r="AE90" s="74"/>
      <c r="AF90" s="74"/>
      <c r="AG90" s="74"/>
      <c r="AH90" s="74"/>
      <c r="AI90" s="74"/>
      <c r="AJ90" s="74"/>
      <c r="AK90" s="74"/>
      <c r="AL90" s="74"/>
      <c r="AM90" s="74"/>
      <c r="AN90" s="74"/>
      <c r="AO90" s="74"/>
      <c r="AP90" s="74"/>
      <c r="AQ90" s="74"/>
      <c r="AR90" s="74"/>
      <c r="AS90" s="75"/>
      <c r="AT90" s="73"/>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5"/>
    </row>
    <row r="91" spans="1:73" ht="15.75" customHeight="1" x14ac:dyDescent="0.15">
      <c r="A91" s="7"/>
      <c r="B91" s="97">
        <v>26</v>
      </c>
      <c r="C91" s="145" t="str">
        <f>IF('INPUT DATA'!Q36="","",'INPUT DATA'!Q36)</f>
        <v/>
      </c>
      <c r="D91" s="139"/>
      <c r="E91" s="146"/>
      <c r="F91" s="147" t="str">
        <f>IF('INPUT DATA'!R36="","",'INPUT DATA'!R36)</f>
        <v/>
      </c>
      <c r="G91" s="146"/>
      <c r="H91" s="96" t="str">
        <f>IF('INPUT DATA'!S36="","",'INPUT DATA'!S36)</f>
        <v/>
      </c>
      <c r="I91" s="71" t="str">
        <f t="shared" si="4"/>
        <v/>
      </c>
      <c r="J91" s="71" t="str">
        <f t="shared" si="5"/>
        <v/>
      </c>
      <c r="K91" s="71" t="str">
        <f t="shared" si="6"/>
        <v/>
      </c>
      <c r="L91" s="71" t="str">
        <f t="shared" si="7"/>
        <v/>
      </c>
      <c r="M91" s="78" t="s">
        <v>51</v>
      </c>
      <c r="N91" s="73"/>
      <c r="O91" s="74"/>
      <c r="P91" s="74"/>
      <c r="Q91" s="74"/>
      <c r="R91" s="74"/>
      <c r="S91" s="74"/>
      <c r="T91" s="74"/>
      <c r="U91" s="74"/>
      <c r="V91" s="74"/>
      <c r="W91" s="74"/>
      <c r="X91" s="74"/>
      <c r="Y91" s="75"/>
      <c r="Z91" s="73"/>
      <c r="AA91" s="74"/>
      <c r="AB91" s="74"/>
      <c r="AC91" s="74"/>
      <c r="AD91" s="74"/>
      <c r="AE91" s="74"/>
      <c r="AF91" s="74"/>
      <c r="AG91" s="74"/>
      <c r="AH91" s="74"/>
      <c r="AI91" s="74"/>
      <c r="AJ91" s="74"/>
      <c r="AK91" s="74"/>
      <c r="AL91" s="74"/>
      <c r="AM91" s="74"/>
      <c r="AN91" s="74"/>
      <c r="AO91" s="74"/>
      <c r="AP91" s="74"/>
      <c r="AQ91" s="74"/>
      <c r="AR91" s="74"/>
      <c r="AS91" s="75"/>
      <c r="AT91" s="73"/>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5"/>
    </row>
    <row r="92" spans="1:73" ht="15.75" customHeight="1" x14ac:dyDescent="0.15">
      <c r="A92" s="7"/>
      <c r="B92" s="101">
        <v>27</v>
      </c>
      <c r="C92" s="145" t="str">
        <f>IF('INPUT DATA'!Q37="","",'INPUT DATA'!Q37)</f>
        <v/>
      </c>
      <c r="D92" s="139"/>
      <c r="E92" s="146"/>
      <c r="F92" s="147" t="str">
        <f>IF('INPUT DATA'!R37="","",'INPUT DATA'!R37)</f>
        <v/>
      </c>
      <c r="G92" s="146"/>
      <c r="H92" s="96" t="str">
        <f>IF('INPUT DATA'!S37="","",'INPUT DATA'!S37)</f>
        <v/>
      </c>
      <c r="I92" s="71" t="str">
        <f t="shared" si="4"/>
        <v/>
      </c>
      <c r="J92" s="71" t="str">
        <f t="shared" si="5"/>
        <v/>
      </c>
      <c r="K92" s="71" t="str">
        <f t="shared" si="6"/>
        <v/>
      </c>
      <c r="L92" s="71" t="str">
        <f t="shared" si="7"/>
        <v/>
      </c>
      <c r="M92" s="78" t="s">
        <v>51</v>
      </c>
      <c r="N92" s="73"/>
      <c r="O92" s="74"/>
      <c r="P92" s="74"/>
      <c r="Q92" s="74"/>
      <c r="R92" s="74"/>
      <c r="S92" s="74"/>
      <c r="T92" s="74"/>
      <c r="U92" s="74"/>
      <c r="V92" s="74"/>
      <c r="W92" s="74"/>
      <c r="X92" s="74"/>
      <c r="Y92" s="75"/>
      <c r="Z92" s="73"/>
      <c r="AA92" s="74"/>
      <c r="AB92" s="74"/>
      <c r="AC92" s="74"/>
      <c r="AD92" s="74"/>
      <c r="AE92" s="74"/>
      <c r="AF92" s="74"/>
      <c r="AG92" s="74"/>
      <c r="AH92" s="74"/>
      <c r="AI92" s="74"/>
      <c r="AJ92" s="74"/>
      <c r="AK92" s="74"/>
      <c r="AL92" s="74"/>
      <c r="AM92" s="74"/>
      <c r="AN92" s="74"/>
      <c r="AO92" s="74"/>
      <c r="AP92" s="74"/>
      <c r="AQ92" s="74"/>
      <c r="AR92" s="74"/>
      <c r="AS92" s="75"/>
      <c r="AT92" s="73"/>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5"/>
    </row>
    <row r="93" spans="1:73" ht="15.75" customHeight="1" x14ac:dyDescent="0.15">
      <c r="A93" s="7"/>
      <c r="B93" s="97">
        <v>28</v>
      </c>
      <c r="C93" s="145" t="str">
        <f>IF('INPUT DATA'!Q38="","",'INPUT DATA'!Q38)</f>
        <v/>
      </c>
      <c r="D93" s="139"/>
      <c r="E93" s="146"/>
      <c r="F93" s="147" t="str">
        <f>IF('INPUT DATA'!R38="","",'INPUT DATA'!R38)</f>
        <v/>
      </c>
      <c r="G93" s="146"/>
      <c r="H93" s="96" t="str">
        <f>IF('INPUT DATA'!S38="","",'INPUT DATA'!S38)</f>
        <v/>
      </c>
      <c r="I93" s="71" t="str">
        <f t="shared" si="4"/>
        <v/>
      </c>
      <c r="J93" s="71" t="str">
        <f t="shared" si="5"/>
        <v/>
      </c>
      <c r="K93" s="71" t="str">
        <f t="shared" si="6"/>
        <v/>
      </c>
      <c r="L93" s="71" t="str">
        <f t="shared" si="7"/>
        <v/>
      </c>
      <c r="M93" s="78" t="s">
        <v>51</v>
      </c>
      <c r="N93" s="73"/>
      <c r="O93" s="74"/>
      <c r="P93" s="74"/>
      <c r="Q93" s="74"/>
      <c r="R93" s="74"/>
      <c r="S93" s="74"/>
      <c r="T93" s="74"/>
      <c r="U93" s="74"/>
      <c r="V93" s="74"/>
      <c r="W93" s="74"/>
      <c r="X93" s="74"/>
      <c r="Y93" s="75"/>
      <c r="Z93" s="73"/>
      <c r="AA93" s="74"/>
      <c r="AB93" s="74"/>
      <c r="AC93" s="74"/>
      <c r="AD93" s="74"/>
      <c r="AE93" s="74"/>
      <c r="AF93" s="74"/>
      <c r="AG93" s="74"/>
      <c r="AH93" s="74"/>
      <c r="AI93" s="74"/>
      <c r="AJ93" s="74"/>
      <c r="AK93" s="74"/>
      <c r="AL93" s="74"/>
      <c r="AM93" s="74"/>
      <c r="AN93" s="74"/>
      <c r="AO93" s="74"/>
      <c r="AP93" s="74"/>
      <c r="AQ93" s="74"/>
      <c r="AR93" s="74"/>
      <c r="AS93" s="75"/>
      <c r="AT93" s="73"/>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5"/>
    </row>
    <row r="94" spans="1:73" ht="15.75" customHeight="1" x14ac:dyDescent="0.15">
      <c r="A94" s="7"/>
      <c r="B94" s="97">
        <v>29</v>
      </c>
      <c r="C94" s="145" t="str">
        <f>IF('INPUT DATA'!Q39="","",'INPUT DATA'!Q39)</f>
        <v/>
      </c>
      <c r="D94" s="139"/>
      <c r="E94" s="146"/>
      <c r="F94" s="147" t="str">
        <f>IF('INPUT DATA'!R39="","",'INPUT DATA'!R39)</f>
        <v/>
      </c>
      <c r="G94" s="146"/>
      <c r="H94" s="96" t="str">
        <f>IF('INPUT DATA'!S39="","",'INPUT DATA'!S39)</f>
        <v/>
      </c>
      <c r="I94" s="71" t="str">
        <f t="shared" si="4"/>
        <v/>
      </c>
      <c r="J94" s="71" t="str">
        <f t="shared" si="5"/>
        <v/>
      </c>
      <c r="K94" s="71" t="str">
        <f t="shared" si="6"/>
        <v/>
      </c>
      <c r="L94" s="71" t="str">
        <f t="shared" si="7"/>
        <v/>
      </c>
      <c r="M94" s="78" t="s">
        <v>51</v>
      </c>
      <c r="N94" s="73"/>
      <c r="O94" s="74"/>
      <c r="P94" s="74"/>
      <c r="Q94" s="74"/>
      <c r="R94" s="74"/>
      <c r="S94" s="74"/>
      <c r="T94" s="74"/>
      <c r="U94" s="74"/>
      <c r="V94" s="74"/>
      <c r="W94" s="74"/>
      <c r="X94" s="74"/>
      <c r="Y94" s="75"/>
      <c r="Z94" s="73"/>
      <c r="AA94" s="74"/>
      <c r="AB94" s="74"/>
      <c r="AC94" s="74"/>
      <c r="AD94" s="74"/>
      <c r="AE94" s="74"/>
      <c r="AF94" s="74"/>
      <c r="AG94" s="74"/>
      <c r="AH94" s="74"/>
      <c r="AI94" s="74"/>
      <c r="AJ94" s="74"/>
      <c r="AK94" s="74"/>
      <c r="AL94" s="74"/>
      <c r="AM94" s="74"/>
      <c r="AN94" s="74"/>
      <c r="AO94" s="74"/>
      <c r="AP94" s="74"/>
      <c r="AQ94" s="74"/>
      <c r="AR94" s="74"/>
      <c r="AS94" s="75"/>
      <c r="AT94" s="73"/>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5"/>
    </row>
    <row r="95" spans="1:73" ht="15.75" customHeight="1" x14ac:dyDescent="0.15">
      <c r="A95" s="7"/>
      <c r="B95" s="97">
        <v>31</v>
      </c>
      <c r="C95" s="145" t="str">
        <f>IF('INPUT DATA'!Q40="","",'INPUT DATA'!Q40)</f>
        <v/>
      </c>
      <c r="D95" s="139"/>
      <c r="E95" s="146"/>
      <c r="F95" s="147" t="str">
        <f>IF('INPUT DATA'!R40="","",'INPUT DATA'!R40)</f>
        <v/>
      </c>
      <c r="G95" s="146"/>
      <c r="H95" s="96" t="str">
        <f>IF('INPUT DATA'!S40="","",'INPUT DATA'!S40)</f>
        <v/>
      </c>
      <c r="I95" s="71" t="str">
        <f t="shared" si="4"/>
        <v/>
      </c>
      <c r="J95" s="71" t="str">
        <f t="shared" si="5"/>
        <v/>
      </c>
      <c r="K95" s="71" t="str">
        <f t="shared" si="6"/>
        <v/>
      </c>
      <c r="L95" s="71" t="str">
        <f t="shared" si="7"/>
        <v/>
      </c>
      <c r="M95" s="78" t="s">
        <v>51</v>
      </c>
      <c r="N95" s="73"/>
      <c r="O95" s="74"/>
      <c r="P95" s="74"/>
      <c r="Q95" s="74"/>
      <c r="R95" s="74"/>
      <c r="S95" s="74"/>
      <c r="T95" s="74"/>
      <c r="U95" s="74"/>
      <c r="V95" s="74"/>
      <c r="W95" s="74"/>
      <c r="X95" s="74"/>
      <c r="Y95" s="75"/>
      <c r="Z95" s="73"/>
      <c r="AA95" s="74"/>
      <c r="AB95" s="74"/>
      <c r="AC95" s="74"/>
      <c r="AD95" s="74"/>
      <c r="AE95" s="74"/>
      <c r="AF95" s="74"/>
      <c r="AG95" s="74"/>
      <c r="AH95" s="74"/>
      <c r="AI95" s="74"/>
      <c r="AJ95" s="74"/>
      <c r="AK95" s="74"/>
      <c r="AL95" s="74"/>
      <c r="AM95" s="74"/>
      <c r="AN95" s="74"/>
      <c r="AO95" s="74"/>
      <c r="AP95" s="74"/>
      <c r="AQ95" s="74"/>
      <c r="AR95" s="74"/>
      <c r="AS95" s="75"/>
      <c r="AT95" s="73"/>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5"/>
    </row>
    <row r="96" spans="1:73" ht="15.75" customHeight="1" x14ac:dyDescent="0.15">
      <c r="A96" s="7"/>
      <c r="B96" s="97">
        <v>32</v>
      </c>
      <c r="C96" s="145" t="str">
        <f>IF('INPUT DATA'!Q41="","",'INPUT DATA'!Q41)</f>
        <v/>
      </c>
      <c r="D96" s="139"/>
      <c r="E96" s="146"/>
      <c r="F96" s="147" t="str">
        <f>IF('INPUT DATA'!R41="","",'INPUT DATA'!R41)</f>
        <v/>
      </c>
      <c r="G96" s="146"/>
      <c r="H96" s="96" t="str">
        <f>IF('INPUT DATA'!S41="","",'INPUT DATA'!S41)</f>
        <v/>
      </c>
      <c r="I96" s="71" t="str">
        <f t="shared" si="4"/>
        <v/>
      </c>
      <c r="J96" s="71" t="str">
        <f t="shared" si="5"/>
        <v/>
      </c>
      <c r="K96" s="71" t="str">
        <f t="shared" si="6"/>
        <v/>
      </c>
      <c r="L96" s="71" t="str">
        <f t="shared" si="7"/>
        <v/>
      </c>
      <c r="M96" s="78" t="s">
        <v>51</v>
      </c>
      <c r="N96" s="73"/>
      <c r="O96" s="74"/>
      <c r="P96" s="74"/>
      <c r="Q96" s="74"/>
      <c r="R96" s="74"/>
      <c r="S96" s="74"/>
      <c r="T96" s="74"/>
      <c r="U96" s="74"/>
      <c r="V96" s="74"/>
      <c r="W96" s="74"/>
      <c r="X96" s="74"/>
      <c r="Y96" s="75"/>
      <c r="Z96" s="73"/>
      <c r="AA96" s="74"/>
      <c r="AB96" s="74"/>
      <c r="AC96" s="74"/>
      <c r="AD96" s="74"/>
      <c r="AE96" s="74"/>
      <c r="AF96" s="74"/>
      <c r="AG96" s="74"/>
      <c r="AH96" s="74"/>
      <c r="AI96" s="74"/>
      <c r="AJ96" s="74"/>
      <c r="AK96" s="74"/>
      <c r="AL96" s="74"/>
      <c r="AM96" s="74"/>
      <c r="AN96" s="74"/>
      <c r="AO96" s="74"/>
      <c r="AP96" s="74"/>
      <c r="AQ96" s="74"/>
      <c r="AR96" s="74"/>
      <c r="AS96" s="75"/>
      <c r="AT96" s="73"/>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5"/>
    </row>
    <row r="97" spans="1:73" ht="15.75" customHeight="1" x14ac:dyDescent="0.15">
      <c r="A97" s="7"/>
      <c r="B97" s="97">
        <v>33</v>
      </c>
      <c r="C97" s="145" t="str">
        <f>IF('INPUT DATA'!Q42="","",'INPUT DATA'!Q42)</f>
        <v/>
      </c>
      <c r="D97" s="139"/>
      <c r="E97" s="146"/>
      <c r="F97" s="147" t="str">
        <f>IF('INPUT DATA'!R42="","",'INPUT DATA'!R42)</f>
        <v/>
      </c>
      <c r="G97" s="146"/>
      <c r="H97" s="96" t="str">
        <f>IF('INPUT DATA'!S42="","",'INPUT DATA'!S42)</f>
        <v/>
      </c>
      <c r="I97" s="71" t="str">
        <f t="shared" si="4"/>
        <v/>
      </c>
      <c r="J97" s="71" t="str">
        <f t="shared" si="5"/>
        <v/>
      </c>
      <c r="K97" s="71" t="str">
        <f t="shared" si="6"/>
        <v/>
      </c>
      <c r="L97" s="71" t="str">
        <f t="shared" si="7"/>
        <v/>
      </c>
      <c r="M97" s="78" t="s">
        <v>51</v>
      </c>
      <c r="N97" s="73"/>
      <c r="O97" s="74"/>
      <c r="P97" s="74"/>
      <c r="Q97" s="74"/>
      <c r="R97" s="74"/>
      <c r="S97" s="74"/>
      <c r="T97" s="74"/>
      <c r="U97" s="74"/>
      <c r="V97" s="74"/>
      <c r="W97" s="74"/>
      <c r="X97" s="74"/>
      <c r="Y97" s="75"/>
      <c r="Z97" s="73"/>
      <c r="AA97" s="74"/>
      <c r="AB97" s="74"/>
      <c r="AC97" s="74"/>
      <c r="AD97" s="74"/>
      <c r="AE97" s="74"/>
      <c r="AF97" s="74"/>
      <c r="AG97" s="74"/>
      <c r="AH97" s="74"/>
      <c r="AI97" s="74"/>
      <c r="AJ97" s="74"/>
      <c r="AK97" s="74"/>
      <c r="AL97" s="74"/>
      <c r="AM97" s="74"/>
      <c r="AN97" s="74"/>
      <c r="AO97" s="74"/>
      <c r="AP97" s="74"/>
      <c r="AQ97" s="74"/>
      <c r="AR97" s="74"/>
      <c r="AS97" s="75"/>
      <c r="AT97" s="73"/>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5"/>
    </row>
    <row r="98" spans="1:73" ht="15.75" customHeight="1" x14ac:dyDescent="0.15">
      <c r="A98" s="7"/>
      <c r="B98" s="97">
        <v>34</v>
      </c>
      <c r="C98" s="145" t="str">
        <f>IF('INPUT DATA'!Q43="","",'INPUT DATA'!Q43)</f>
        <v/>
      </c>
      <c r="D98" s="139"/>
      <c r="E98" s="146"/>
      <c r="F98" s="147" t="str">
        <f>IF('INPUT DATA'!R43="","",'INPUT DATA'!R43)</f>
        <v/>
      </c>
      <c r="G98" s="146"/>
      <c r="H98" s="96" t="str">
        <f>IF('INPUT DATA'!S43="","",'INPUT DATA'!S43)</f>
        <v/>
      </c>
      <c r="I98" s="71" t="str">
        <f t="shared" si="4"/>
        <v/>
      </c>
      <c r="J98" s="71" t="str">
        <f t="shared" si="5"/>
        <v/>
      </c>
      <c r="K98" s="71" t="str">
        <f t="shared" si="6"/>
        <v/>
      </c>
      <c r="L98" s="71" t="str">
        <f t="shared" si="7"/>
        <v/>
      </c>
      <c r="M98" s="78" t="s">
        <v>51</v>
      </c>
      <c r="N98" s="73"/>
      <c r="O98" s="74"/>
      <c r="P98" s="74"/>
      <c r="Q98" s="74"/>
      <c r="R98" s="74"/>
      <c r="S98" s="74"/>
      <c r="T98" s="74"/>
      <c r="U98" s="74"/>
      <c r="V98" s="74"/>
      <c r="W98" s="74"/>
      <c r="X98" s="74"/>
      <c r="Y98" s="75"/>
      <c r="Z98" s="73"/>
      <c r="AA98" s="74"/>
      <c r="AB98" s="74"/>
      <c r="AC98" s="74"/>
      <c r="AD98" s="74"/>
      <c r="AE98" s="74"/>
      <c r="AF98" s="74"/>
      <c r="AG98" s="74"/>
      <c r="AH98" s="74"/>
      <c r="AI98" s="74"/>
      <c r="AJ98" s="74"/>
      <c r="AK98" s="74"/>
      <c r="AL98" s="74"/>
      <c r="AM98" s="74"/>
      <c r="AN98" s="74"/>
      <c r="AO98" s="74"/>
      <c r="AP98" s="74"/>
      <c r="AQ98" s="74"/>
      <c r="AR98" s="74"/>
      <c r="AS98" s="75"/>
      <c r="AT98" s="73"/>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5"/>
    </row>
    <row r="99" spans="1:73" ht="15.75" customHeight="1" x14ac:dyDescent="0.15">
      <c r="A99" s="7"/>
      <c r="B99" s="97">
        <v>35</v>
      </c>
      <c r="C99" s="145" t="str">
        <f>IF('INPUT DATA'!Q44="","",'INPUT DATA'!Q44)</f>
        <v/>
      </c>
      <c r="D99" s="139"/>
      <c r="E99" s="146"/>
      <c r="F99" s="147" t="str">
        <f>IF('INPUT DATA'!R44="","",'INPUT DATA'!R44)</f>
        <v/>
      </c>
      <c r="G99" s="146"/>
      <c r="H99" s="96" t="str">
        <f>IF('INPUT DATA'!S44="","",'INPUT DATA'!S44)</f>
        <v/>
      </c>
      <c r="I99" s="71" t="str">
        <f t="shared" si="4"/>
        <v/>
      </c>
      <c r="J99" s="71" t="str">
        <f t="shared" si="5"/>
        <v/>
      </c>
      <c r="K99" s="71" t="str">
        <f t="shared" si="6"/>
        <v/>
      </c>
      <c r="L99" s="71" t="str">
        <f t="shared" si="7"/>
        <v/>
      </c>
      <c r="M99" s="78" t="s">
        <v>51</v>
      </c>
      <c r="N99" s="73"/>
      <c r="O99" s="74"/>
      <c r="P99" s="74"/>
      <c r="Q99" s="74"/>
      <c r="R99" s="74"/>
      <c r="S99" s="74"/>
      <c r="T99" s="74"/>
      <c r="U99" s="74"/>
      <c r="V99" s="74"/>
      <c r="W99" s="74"/>
      <c r="X99" s="74"/>
      <c r="Y99" s="75"/>
      <c r="Z99" s="73"/>
      <c r="AA99" s="74"/>
      <c r="AB99" s="74"/>
      <c r="AC99" s="74"/>
      <c r="AD99" s="74"/>
      <c r="AE99" s="74"/>
      <c r="AF99" s="74"/>
      <c r="AG99" s="74"/>
      <c r="AH99" s="74"/>
      <c r="AI99" s="74"/>
      <c r="AJ99" s="74"/>
      <c r="AK99" s="74"/>
      <c r="AL99" s="74"/>
      <c r="AM99" s="74"/>
      <c r="AN99" s="74"/>
      <c r="AO99" s="74"/>
      <c r="AP99" s="74"/>
      <c r="AQ99" s="74"/>
      <c r="AR99" s="74"/>
      <c r="AS99" s="75"/>
      <c r="AT99" s="73"/>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5"/>
    </row>
    <row r="100" spans="1:73" ht="15.75" customHeight="1" x14ac:dyDescent="0.15">
      <c r="A100" s="7"/>
      <c r="B100" s="97">
        <v>36</v>
      </c>
      <c r="C100" s="145" t="str">
        <f>IF('INPUT DATA'!Q45="","",'INPUT DATA'!Q45)</f>
        <v/>
      </c>
      <c r="D100" s="139"/>
      <c r="E100" s="146"/>
      <c r="F100" s="147" t="str">
        <f>IF('INPUT DATA'!R45="","",'INPUT DATA'!R45)</f>
        <v/>
      </c>
      <c r="G100" s="146"/>
      <c r="H100" s="96" t="str">
        <f>IF('INPUT DATA'!S45="","",'INPUT DATA'!S45)</f>
        <v/>
      </c>
      <c r="I100" s="71" t="str">
        <f t="shared" si="4"/>
        <v/>
      </c>
      <c r="J100" s="71" t="str">
        <f t="shared" si="5"/>
        <v/>
      </c>
      <c r="K100" s="71" t="str">
        <f t="shared" si="6"/>
        <v/>
      </c>
      <c r="L100" s="71" t="str">
        <f t="shared" si="7"/>
        <v/>
      </c>
      <c r="M100" s="78" t="s">
        <v>51</v>
      </c>
      <c r="N100" s="73"/>
      <c r="O100" s="74"/>
      <c r="P100" s="74"/>
      <c r="Q100" s="74"/>
      <c r="R100" s="74"/>
      <c r="S100" s="74"/>
      <c r="T100" s="74"/>
      <c r="U100" s="74"/>
      <c r="V100" s="74"/>
      <c r="W100" s="74"/>
      <c r="X100" s="74"/>
      <c r="Y100" s="75"/>
      <c r="Z100" s="73"/>
      <c r="AA100" s="74"/>
      <c r="AB100" s="74"/>
      <c r="AC100" s="74"/>
      <c r="AD100" s="74"/>
      <c r="AE100" s="74"/>
      <c r="AF100" s="74"/>
      <c r="AG100" s="74"/>
      <c r="AH100" s="74"/>
      <c r="AI100" s="74"/>
      <c r="AJ100" s="74"/>
      <c r="AK100" s="74"/>
      <c r="AL100" s="74"/>
      <c r="AM100" s="74"/>
      <c r="AN100" s="74"/>
      <c r="AO100" s="74"/>
      <c r="AP100" s="74"/>
      <c r="AQ100" s="74"/>
      <c r="AR100" s="74"/>
      <c r="AS100" s="75"/>
      <c r="AT100" s="73"/>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5"/>
    </row>
    <row r="101" spans="1:73" ht="15.75" customHeight="1" x14ac:dyDescent="0.15">
      <c r="A101" s="7"/>
      <c r="B101" s="97">
        <v>37</v>
      </c>
      <c r="C101" s="145" t="str">
        <f>IF('INPUT DATA'!Q46="","",'INPUT DATA'!Q46)</f>
        <v/>
      </c>
      <c r="D101" s="139"/>
      <c r="E101" s="146"/>
      <c r="F101" s="147" t="str">
        <f>IF('INPUT DATA'!R46="","",'INPUT DATA'!R46)</f>
        <v/>
      </c>
      <c r="G101" s="146"/>
      <c r="H101" s="96" t="str">
        <f>IF('INPUT DATA'!S46="","",'INPUT DATA'!S46)</f>
        <v/>
      </c>
      <c r="I101" s="71" t="str">
        <f t="shared" si="4"/>
        <v/>
      </c>
      <c r="J101" s="71" t="str">
        <f t="shared" si="5"/>
        <v/>
      </c>
      <c r="K101" s="71" t="str">
        <f t="shared" si="6"/>
        <v/>
      </c>
      <c r="L101" s="71" t="str">
        <f t="shared" si="7"/>
        <v/>
      </c>
      <c r="M101" s="78" t="s">
        <v>51</v>
      </c>
      <c r="N101" s="73"/>
      <c r="O101" s="74"/>
      <c r="P101" s="74"/>
      <c r="Q101" s="74"/>
      <c r="R101" s="74"/>
      <c r="S101" s="74"/>
      <c r="T101" s="74"/>
      <c r="U101" s="74"/>
      <c r="V101" s="74"/>
      <c r="W101" s="74"/>
      <c r="X101" s="74"/>
      <c r="Y101" s="75"/>
      <c r="Z101" s="73"/>
      <c r="AA101" s="74"/>
      <c r="AB101" s="74"/>
      <c r="AC101" s="74"/>
      <c r="AD101" s="74"/>
      <c r="AE101" s="74"/>
      <c r="AF101" s="74"/>
      <c r="AG101" s="74"/>
      <c r="AH101" s="74"/>
      <c r="AI101" s="74"/>
      <c r="AJ101" s="74"/>
      <c r="AK101" s="74"/>
      <c r="AL101" s="74"/>
      <c r="AM101" s="74"/>
      <c r="AN101" s="74"/>
      <c r="AO101" s="74"/>
      <c r="AP101" s="74"/>
      <c r="AQ101" s="74"/>
      <c r="AR101" s="74"/>
      <c r="AS101" s="75"/>
      <c r="AT101" s="73"/>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5"/>
    </row>
    <row r="102" spans="1:73" ht="15.75" customHeight="1" x14ac:dyDescent="0.15">
      <c r="A102" s="7"/>
      <c r="B102" s="97">
        <v>38</v>
      </c>
      <c r="C102" s="145" t="str">
        <f>IF('INPUT DATA'!Q47="","",'INPUT DATA'!Q47)</f>
        <v/>
      </c>
      <c r="D102" s="139"/>
      <c r="E102" s="146"/>
      <c r="F102" s="147" t="str">
        <f>IF('INPUT DATA'!R47="","",'INPUT DATA'!R47)</f>
        <v/>
      </c>
      <c r="G102" s="146"/>
      <c r="H102" s="96" t="str">
        <f>IF('INPUT DATA'!S47="","",'INPUT DATA'!S47)</f>
        <v/>
      </c>
      <c r="I102" s="71" t="str">
        <f t="shared" si="4"/>
        <v/>
      </c>
      <c r="J102" s="71" t="str">
        <f t="shared" si="5"/>
        <v/>
      </c>
      <c r="K102" s="71" t="str">
        <f t="shared" si="6"/>
        <v/>
      </c>
      <c r="L102" s="71" t="str">
        <f t="shared" si="7"/>
        <v/>
      </c>
      <c r="M102" s="78" t="s">
        <v>51</v>
      </c>
      <c r="N102" s="73"/>
      <c r="O102" s="74"/>
      <c r="P102" s="74"/>
      <c r="Q102" s="74"/>
      <c r="R102" s="74"/>
      <c r="S102" s="74"/>
      <c r="T102" s="74"/>
      <c r="U102" s="74"/>
      <c r="V102" s="74"/>
      <c r="W102" s="74"/>
      <c r="X102" s="74"/>
      <c r="Y102" s="75"/>
      <c r="Z102" s="73"/>
      <c r="AA102" s="74"/>
      <c r="AB102" s="74"/>
      <c r="AC102" s="74"/>
      <c r="AD102" s="74"/>
      <c r="AE102" s="74"/>
      <c r="AF102" s="74"/>
      <c r="AG102" s="74"/>
      <c r="AH102" s="74"/>
      <c r="AI102" s="74"/>
      <c r="AJ102" s="74"/>
      <c r="AK102" s="74"/>
      <c r="AL102" s="74"/>
      <c r="AM102" s="74"/>
      <c r="AN102" s="74"/>
      <c r="AO102" s="74"/>
      <c r="AP102" s="74"/>
      <c r="AQ102" s="74"/>
      <c r="AR102" s="74"/>
      <c r="AS102" s="75"/>
      <c r="AT102" s="73"/>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5"/>
    </row>
    <row r="103" spans="1:73" ht="15.75" customHeight="1" x14ac:dyDescent="0.15">
      <c r="A103" s="7"/>
      <c r="B103" s="97">
        <v>39</v>
      </c>
      <c r="C103" s="145" t="str">
        <f>IF('INPUT DATA'!Q48="","",'INPUT DATA'!Q48)</f>
        <v/>
      </c>
      <c r="D103" s="139"/>
      <c r="E103" s="146"/>
      <c r="F103" s="147" t="str">
        <f>IF('INPUT DATA'!R48="","",'INPUT DATA'!R48)</f>
        <v/>
      </c>
      <c r="G103" s="146"/>
      <c r="H103" s="96" t="str">
        <f>IF('INPUT DATA'!S48="","",'INPUT DATA'!S48)</f>
        <v/>
      </c>
      <c r="I103" s="71" t="str">
        <f t="shared" si="4"/>
        <v/>
      </c>
      <c r="J103" s="71" t="str">
        <f t="shared" si="5"/>
        <v/>
      </c>
      <c r="K103" s="71" t="str">
        <f t="shared" si="6"/>
        <v/>
      </c>
      <c r="L103" s="71" t="str">
        <f t="shared" si="7"/>
        <v/>
      </c>
      <c r="M103" s="78" t="s">
        <v>51</v>
      </c>
      <c r="N103" s="73"/>
      <c r="O103" s="74"/>
      <c r="P103" s="74"/>
      <c r="Q103" s="74"/>
      <c r="R103" s="74"/>
      <c r="S103" s="74"/>
      <c r="T103" s="74"/>
      <c r="U103" s="74"/>
      <c r="V103" s="74"/>
      <c r="W103" s="74"/>
      <c r="X103" s="74"/>
      <c r="Y103" s="75"/>
      <c r="Z103" s="73"/>
      <c r="AA103" s="74"/>
      <c r="AB103" s="74"/>
      <c r="AC103" s="74"/>
      <c r="AD103" s="74"/>
      <c r="AE103" s="74"/>
      <c r="AF103" s="74"/>
      <c r="AG103" s="74"/>
      <c r="AH103" s="74"/>
      <c r="AI103" s="74"/>
      <c r="AJ103" s="74"/>
      <c r="AK103" s="74"/>
      <c r="AL103" s="74"/>
      <c r="AM103" s="74"/>
      <c r="AN103" s="74"/>
      <c r="AO103" s="74"/>
      <c r="AP103" s="74"/>
      <c r="AQ103" s="74"/>
      <c r="AR103" s="74"/>
      <c r="AS103" s="75"/>
      <c r="AT103" s="73"/>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5"/>
    </row>
    <row r="104" spans="1:73" ht="15.75" customHeight="1" x14ac:dyDescent="0.15">
      <c r="A104" s="7"/>
      <c r="B104" s="97">
        <v>40</v>
      </c>
      <c r="C104" s="145" t="str">
        <f>IF('INPUT DATA'!Q49="","",'INPUT DATA'!Q49)</f>
        <v/>
      </c>
      <c r="D104" s="139"/>
      <c r="E104" s="146"/>
      <c r="F104" s="147" t="str">
        <f>IF('INPUT DATA'!R49="","",'INPUT DATA'!R49)</f>
        <v/>
      </c>
      <c r="G104" s="146"/>
      <c r="H104" s="96" t="str">
        <f>IF('INPUT DATA'!S49="","",'INPUT DATA'!S49)</f>
        <v/>
      </c>
      <c r="I104" s="71" t="str">
        <f t="shared" si="4"/>
        <v/>
      </c>
      <c r="J104" s="71" t="str">
        <f t="shared" si="5"/>
        <v/>
      </c>
      <c r="K104" s="71" t="str">
        <f t="shared" si="6"/>
        <v/>
      </c>
      <c r="L104" s="71" t="str">
        <f t="shared" si="7"/>
        <v/>
      </c>
      <c r="M104" s="78" t="s">
        <v>51</v>
      </c>
      <c r="N104" s="73"/>
      <c r="O104" s="74"/>
      <c r="P104" s="74"/>
      <c r="Q104" s="74"/>
      <c r="R104" s="74"/>
      <c r="S104" s="74"/>
      <c r="T104" s="74"/>
      <c r="U104" s="74"/>
      <c r="V104" s="74"/>
      <c r="W104" s="74"/>
      <c r="X104" s="74"/>
      <c r="Y104" s="75"/>
      <c r="Z104" s="73"/>
      <c r="AA104" s="74"/>
      <c r="AB104" s="74"/>
      <c r="AC104" s="74"/>
      <c r="AD104" s="74"/>
      <c r="AE104" s="74"/>
      <c r="AF104" s="74"/>
      <c r="AG104" s="74"/>
      <c r="AH104" s="74"/>
      <c r="AI104" s="74"/>
      <c r="AJ104" s="74"/>
      <c r="AK104" s="74"/>
      <c r="AL104" s="74"/>
      <c r="AM104" s="74"/>
      <c r="AN104" s="74"/>
      <c r="AO104" s="74"/>
      <c r="AP104" s="74"/>
      <c r="AQ104" s="74"/>
      <c r="AR104" s="74"/>
      <c r="AS104" s="75"/>
      <c r="AT104" s="73"/>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5"/>
    </row>
    <row r="105" spans="1:73" ht="15.75" customHeight="1" x14ac:dyDescent="0.15">
      <c r="A105" s="7"/>
      <c r="B105" s="97">
        <v>41</v>
      </c>
      <c r="C105" s="145" t="str">
        <f>IF('INPUT DATA'!Q50="","",'INPUT DATA'!Q50)</f>
        <v/>
      </c>
      <c r="D105" s="139"/>
      <c r="E105" s="146"/>
      <c r="F105" s="147" t="str">
        <f>IF('INPUT DATA'!R50="","",'INPUT DATA'!R50)</f>
        <v/>
      </c>
      <c r="G105" s="146"/>
      <c r="H105" s="96" t="str">
        <f>IF('INPUT DATA'!S50="","",'INPUT DATA'!S50)</f>
        <v/>
      </c>
      <c r="I105" s="71" t="str">
        <f t="shared" si="4"/>
        <v/>
      </c>
      <c r="J105" s="71" t="str">
        <f t="shared" si="5"/>
        <v/>
      </c>
      <c r="K105" s="71" t="str">
        <f t="shared" si="6"/>
        <v/>
      </c>
      <c r="L105" s="71" t="str">
        <f t="shared" si="7"/>
        <v/>
      </c>
      <c r="M105" s="78" t="s">
        <v>51</v>
      </c>
      <c r="N105" s="73"/>
      <c r="O105" s="74"/>
      <c r="P105" s="74"/>
      <c r="Q105" s="74"/>
      <c r="R105" s="74"/>
      <c r="S105" s="74"/>
      <c r="T105" s="74"/>
      <c r="U105" s="74"/>
      <c r="V105" s="74"/>
      <c r="W105" s="74"/>
      <c r="X105" s="74"/>
      <c r="Y105" s="75"/>
      <c r="Z105" s="73"/>
      <c r="AA105" s="74"/>
      <c r="AB105" s="74"/>
      <c r="AC105" s="74"/>
      <c r="AD105" s="74"/>
      <c r="AE105" s="74"/>
      <c r="AF105" s="74"/>
      <c r="AG105" s="74"/>
      <c r="AH105" s="74"/>
      <c r="AI105" s="74"/>
      <c r="AJ105" s="74"/>
      <c r="AK105" s="74"/>
      <c r="AL105" s="74"/>
      <c r="AM105" s="74"/>
      <c r="AN105" s="74"/>
      <c r="AO105" s="74"/>
      <c r="AP105" s="74"/>
      <c r="AQ105" s="74"/>
      <c r="AR105" s="74"/>
      <c r="AS105" s="75"/>
      <c r="AT105" s="73"/>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5"/>
    </row>
    <row r="106" spans="1:73" ht="15.75" customHeight="1" x14ac:dyDescent="0.15">
      <c r="A106" s="7"/>
      <c r="B106" s="97">
        <v>42</v>
      </c>
      <c r="C106" s="145" t="str">
        <f>IF('INPUT DATA'!Q51="","",'INPUT DATA'!Q51)</f>
        <v/>
      </c>
      <c r="D106" s="139"/>
      <c r="E106" s="146"/>
      <c r="F106" s="147" t="str">
        <f>IF('INPUT DATA'!R51="","",'INPUT DATA'!R51)</f>
        <v/>
      </c>
      <c r="G106" s="146"/>
      <c r="H106" s="96" t="str">
        <f>IF('INPUT DATA'!S51="","",'INPUT DATA'!S51)</f>
        <v/>
      </c>
      <c r="I106" s="71" t="str">
        <f t="shared" si="4"/>
        <v/>
      </c>
      <c r="J106" s="71" t="str">
        <f t="shared" si="5"/>
        <v/>
      </c>
      <c r="K106" s="71" t="str">
        <f t="shared" si="6"/>
        <v/>
      </c>
      <c r="L106" s="71" t="str">
        <f t="shared" si="7"/>
        <v/>
      </c>
      <c r="M106" s="78" t="s">
        <v>51</v>
      </c>
      <c r="N106" s="73"/>
      <c r="O106" s="74"/>
      <c r="P106" s="74"/>
      <c r="Q106" s="74"/>
      <c r="R106" s="74"/>
      <c r="S106" s="74"/>
      <c r="T106" s="74"/>
      <c r="U106" s="74"/>
      <c r="V106" s="74"/>
      <c r="W106" s="74"/>
      <c r="X106" s="74"/>
      <c r="Y106" s="75"/>
      <c r="Z106" s="73"/>
      <c r="AA106" s="74"/>
      <c r="AB106" s="74"/>
      <c r="AC106" s="74"/>
      <c r="AD106" s="74"/>
      <c r="AE106" s="74"/>
      <c r="AF106" s="74"/>
      <c r="AG106" s="74"/>
      <c r="AH106" s="74"/>
      <c r="AI106" s="74"/>
      <c r="AJ106" s="74"/>
      <c r="AK106" s="74"/>
      <c r="AL106" s="74"/>
      <c r="AM106" s="74"/>
      <c r="AN106" s="74"/>
      <c r="AO106" s="74"/>
      <c r="AP106" s="74"/>
      <c r="AQ106" s="74"/>
      <c r="AR106" s="74"/>
      <c r="AS106" s="75"/>
      <c r="AT106" s="73"/>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5"/>
    </row>
    <row r="107" spans="1:73" ht="15.75" customHeight="1" x14ac:dyDescent="0.15">
      <c r="A107" s="7"/>
      <c r="B107" s="97">
        <v>43</v>
      </c>
      <c r="C107" s="145" t="str">
        <f>IF('INPUT DATA'!Q52="","",'INPUT DATA'!Q52)</f>
        <v/>
      </c>
      <c r="D107" s="139"/>
      <c r="E107" s="146"/>
      <c r="F107" s="147" t="str">
        <f>IF('INPUT DATA'!R52="","",'INPUT DATA'!R52)</f>
        <v/>
      </c>
      <c r="G107" s="146"/>
      <c r="H107" s="96" t="str">
        <f>IF('INPUT DATA'!S52="","",'INPUT DATA'!S52)</f>
        <v/>
      </c>
      <c r="I107" s="71" t="str">
        <f t="shared" si="4"/>
        <v/>
      </c>
      <c r="J107" s="71" t="str">
        <f t="shared" si="5"/>
        <v/>
      </c>
      <c r="K107" s="71" t="str">
        <f t="shared" si="6"/>
        <v/>
      </c>
      <c r="L107" s="71" t="str">
        <f t="shared" si="7"/>
        <v/>
      </c>
      <c r="M107" s="78" t="s">
        <v>51</v>
      </c>
      <c r="N107" s="73"/>
      <c r="O107" s="74"/>
      <c r="P107" s="74"/>
      <c r="Q107" s="74"/>
      <c r="R107" s="74"/>
      <c r="S107" s="74"/>
      <c r="T107" s="74"/>
      <c r="U107" s="74"/>
      <c r="V107" s="74"/>
      <c r="W107" s="74"/>
      <c r="X107" s="74"/>
      <c r="Y107" s="75"/>
      <c r="Z107" s="73"/>
      <c r="AA107" s="74"/>
      <c r="AB107" s="74"/>
      <c r="AC107" s="74"/>
      <c r="AD107" s="74"/>
      <c r="AE107" s="74"/>
      <c r="AF107" s="74"/>
      <c r="AG107" s="74"/>
      <c r="AH107" s="74"/>
      <c r="AI107" s="74"/>
      <c r="AJ107" s="74"/>
      <c r="AK107" s="74"/>
      <c r="AL107" s="74"/>
      <c r="AM107" s="74"/>
      <c r="AN107" s="74"/>
      <c r="AO107" s="74"/>
      <c r="AP107" s="74"/>
      <c r="AQ107" s="74"/>
      <c r="AR107" s="74"/>
      <c r="AS107" s="75"/>
      <c r="AT107" s="73"/>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5"/>
    </row>
    <row r="108" spans="1:73" ht="15.75" customHeight="1" x14ac:dyDescent="0.15">
      <c r="A108" s="7"/>
      <c r="B108" s="97">
        <v>44</v>
      </c>
      <c r="C108" s="145" t="str">
        <f>IF('INPUT DATA'!Q53="","",'INPUT DATA'!Q53)</f>
        <v/>
      </c>
      <c r="D108" s="139"/>
      <c r="E108" s="146"/>
      <c r="F108" s="147" t="str">
        <f>IF('INPUT DATA'!R53="","",'INPUT DATA'!R53)</f>
        <v/>
      </c>
      <c r="G108" s="146"/>
      <c r="H108" s="96" t="str">
        <f>IF('INPUT DATA'!S53="","",'INPUT DATA'!S53)</f>
        <v/>
      </c>
      <c r="I108" s="71" t="str">
        <f t="shared" si="4"/>
        <v/>
      </c>
      <c r="J108" s="71" t="str">
        <f t="shared" si="5"/>
        <v/>
      </c>
      <c r="K108" s="71" t="str">
        <f t="shared" si="6"/>
        <v/>
      </c>
      <c r="L108" s="71" t="str">
        <f t="shared" si="7"/>
        <v/>
      </c>
      <c r="M108" s="78" t="s">
        <v>51</v>
      </c>
      <c r="N108" s="73"/>
      <c r="O108" s="74"/>
      <c r="P108" s="74"/>
      <c r="Q108" s="74"/>
      <c r="R108" s="74"/>
      <c r="S108" s="74"/>
      <c r="T108" s="74"/>
      <c r="U108" s="74"/>
      <c r="V108" s="74"/>
      <c r="W108" s="74"/>
      <c r="X108" s="74"/>
      <c r="Y108" s="75"/>
      <c r="Z108" s="73"/>
      <c r="AA108" s="74"/>
      <c r="AB108" s="74"/>
      <c r="AC108" s="74"/>
      <c r="AD108" s="74"/>
      <c r="AE108" s="74"/>
      <c r="AF108" s="74"/>
      <c r="AG108" s="74"/>
      <c r="AH108" s="74"/>
      <c r="AI108" s="74"/>
      <c r="AJ108" s="74"/>
      <c r="AK108" s="74"/>
      <c r="AL108" s="74"/>
      <c r="AM108" s="74"/>
      <c r="AN108" s="74"/>
      <c r="AO108" s="74"/>
      <c r="AP108" s="74"/>
      <c r="AQ108" s="74"/>
      <c r="AR108" s="74"/>
      <c r="AS108" s="75"/>
      <c r="AT108" s="73"/>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5"/>
    </row>
    <row r="109" spans="1:73" ht="15.75" customHeight="1" x14ac:dyDescent="0.15">
      <c r="A109" s="7"/>
      <c r="B109" s="97">
        <v>45</v>
      </c>
      <c r="C109" s="145" t="str">
        <f>IF('INPUT DATA'!Q54="","",'INPUT DATA'!Q54)</f>
        <v/>
      </c>
      <c r="D109" s="139"/>
      <c r="E109" s="146"/>
      <c r="F109" s="147" t="str">
        <f>IF('INPUT DATA'!R54="","",'INPUT DATA'!R54)</f>
        <v/>
      </c>
      <c r="G109" s="146"/>
      <c r="H109" s="96" t="str">
        <f>IF('INPUT DATA'!S54="","",'INPUT DATA'!S54)</f>
        <v/>
      </c>
      <c r="I109" s="71" t="str">
        <f t="shared" si="4"/>
        <v/>
      </c>
      <c r="J109" s="71" t="str">
        <f t="shared" si="5"/>
        <v/>
      </c>
      <c r="K109" s="71" t="str">
        <f t="shared" si="6"/>
        <v/>
      </c>
      <c r="L109" s="71" t="str">
        <f t="shared" si="7"/>
        <v/>
      </c>
      <c r="M109" s="78" t="s">
        <v>51</v>
      </c>
      <c r="N109" s="73"/>
      <c r="O109" s="74"/>
      <c r="P109" s="74"/>
      <c r="Q109" s="74"/>
      <c r="R109" s="74"/>
      <c r="S109" s="74"/>
      <c r="T109" s="74"/>
      <c r="U109" s="74"/>
      <c r="V109" s="74"/>
      <c r="W109" s="74"/>
      <c r="X109" s="74"/>
      <c r="Y109" s="75"/>
      <c r="Z109" s="73"/>
      <c r="AA109" s="74"/>
      <c r="AB109" s="74"/>
      <c r="AC109" s="74"/>
      <c r="AD109" s="74"/>
      <c r="AE109" s="74"/>
      <c r="AF109" s="74"/>
      <c r="AG109" s="74"/>
      <c r="AH109" s="74"/>
      <c r="AI109" s="74"/>
      <c r="AJ109" s="74"/>
      <c r="AK109" s="74"/>
      <c r="AL109" s="74"/>
      <c r="AM109" s="74"/>
      <c r="AN109" s="74"/>
      <c r="AO109" s="74"/>
      <c r="AP109" s="74"/>
      <c r="AQ109" s="74"/>
      <c r="AR109" s="74"/>
      <c r="AS109" s="75"/>
      <c r="AT109" s="73"/>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5"/>
    </row>
    <row r="110" spans="1:73" ht="15.75" customHeight="1" x14ac:dyDescent="0.15">
      <c r="A110" s="7"/>
      <c r="B110" s="97">
        <v>46</v>
      </c>
      <c r="C110" s="145" t="str">
        <f>IF('INPUT DATA'!Q55="","",'INPUT DATA'!Q55)</f>
        <v/>
      </c>
      <c r="D110" s="139"/>
      <c r="E110" s="146"/>
      <c r="F110" s="147" t="str">
        <f>IF('INPUT DATA'!R55="","",'INPUT DATA'!R55)</f>
        <v/>
      </c>
      <c r="G110" s="146"/>
      <c r="H110" s="96" t="str">
        <f>IF('INPUT DATA'!S55="","",'INPUT DATA'!S55)</f>
        <v/>
      </c>
      <c r="I110" s="71" t="str">
        <f t="shared" si="4"/>
        <v/>
      </c>
      <c r="J110" s="71" t="str">
        <f t="shared" si="5"/>
        <v/>
      </c>
      <c r="K110" s="71" t="str">
        <f t="shared" si="6"/>
        <v/>
      </c>
      <c r="L110" s="71" t="str">
        <f t="shared" si="7"/>
        <v/>
      </c>
      <c r="M110" s="78" t="s">
        <v>51</v>
      </c>
      <c r="N110" s="73"/>
      <c r="O110" s="74"/>
      <c r="P110" s="74"/>
      <c r="Q110" s="74"/>
      <c r="R110" s="74"/>
      <c r="S110" s="74"/>
      <c r="T110" s="74"/>
      <c r="U110" s="74"/>
      <c r="V110" s="74"/>
      <c r="W110" s="74"/>
      <c r="X110" s="74"/>
      <c r="Y110" s="75"/>
      <c r="Z110" s="73"/>
      <c r="AA110" s="74"/>
      <c r="AB110" s="74"/>
      <c r="AC110" s="74"/>
      <c r="AD110" s="74"/>
      <c r="AE110" s="74"/>
      <c r="AF110" s="74"/>
      <c r="AG110" s="74"/>
      <c r="AH110" s="74"/>
      <c r="AI110" s="74"/>
      <c r="AJ110" s="74"/>
      <c r="AK110" s="74"/>
      <c r="AL110" s="74"/>
      <c r="AM110" s="74"/>
      <c r="AN110" s="74"/>
      <c r="AO110" s="74"/>
      <c r="AP110" s="74"/>
      <c r="AQ110" s="74"/>
      <c r="AR110" s="74"/>
      <c r="AS110" s="75"/>
      <c r="AT110" s="73"/>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5"/>
    </row>
    <row r="111" spans="1:73" ht="15.75" customHeight="1" x14ac:dyDescent="0.15">
      <c r="A111" s="7"/>
      <c r="B111" s="97">
        <v>47</v>
      </c>
      <c r="C111" s="145" t="str">
        <f>IF('INPUT DATA'!Q56="","",'INPUT DATA'!Q56)</f>
        <v/>
      </c>
      <c r="D111" s="139"/>
      <c r="E111" s="146"/>
      <c r="F111" s="147" t="str">
        <f>IF('INPUT DATA'!R56="","",'INPUT DATA'!R56)</f>
        <v/>
      </c>
      <c r="G111" s="146"/>
      <c r="H111" s="96" t="str">
        <f>IF('INPUT DATA'!S56="","",'INPUT DATA'!S56)</f>
        <v/>
      </c>
      <c r="I111" s="71" t="str">
        <f t="shared" si="4"/>
        <v/>
      </c>
      <c r="J111" s="71" t="str">
        <f t="shared" si="5"/>
        <v/>
      </c>
      <c r="K111" s="71" t="str">
        <f t="shared" si="6"/>
        <v/>
      </c>
      <c r="L111" s="71" t="str">
        <f t="shared" si="7"/>
        <v/>
      </c>
      <c r="M111" s="78" t="s">
        <v>51</v>
      </c>
      <c r="N111" s="73"/>
      <c r="O111" s="74"/>
      <c r="P111" s="74"/>
      <c r="Q111" s="74"/>
      <c r="R111" s="74"/>
      <c r="S111" s="74"/>
      <c r="T111" s="74"/>
      <c r="U111" s="74"/>
      <c r="V111" s="74"/>
      <c r="W111" s="74"/>
      <c r="X111" s="74"/>
      <c r="Y111" s="75"/>
      <c r="Z111" s="73"/>
      <c r="AA111" s="74"/>
      <c r="AB111" s="74"/>
      <c r="AC111" s="74"/>
      <c r="AD111" s="74"/>
      <c r="AE111" s="74"/>
      <c r="AF111" s="74"/>
      <c r="AG111" s="74"/>
      <c r="AH111" s="74"/>
      <c r="AI111" s="74"/>
      <c r="AJ111" s="74"/>
      <c r="AK111" s="74"/>
      <c r="AL111" s="74"/>
      <c r="AM111" s="74"/>
      <c r="AN111" s="74"/>
      <c r="AO111" s="74"/>
      <c r="AP111" s="74"/>
      <c r="AQ111" s="74"/>
      <c r="AR111" s="74"/>
      <c r="AS111" s="75"/>
      <c r="AT111" s="73"/>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5"/>
    </row>
    <row r="112" spans="1:73" ht="15.75" customHeight="1" x14ac:dyDescent="0.15">
      <c r="A112" s="7"/>
      <c r="B112" s="97">
        <v>48</v>
      </c>
      <c r="C112" s="145" t="str">
        <f>IF('INPUT DATA'!Q57="","",'INPUT DATA'!Q57)</f>
        <v/>
      </c>
      <c r="D112" s="139"/>
      <c r="E112" s="146"/>
      <c r="F112" s="147" t="str">
        <f>IF('INPUT DATA'!R57="","",'INPUT DATA'!R57)</f>
        <v/>
      </c>
      <c r="G112" s="146"/>
      <c r="H112" s="96" t="str">
        <f>IF('INPUT DATA'!S57="","",'INPUT DATA'!S57)</f>
        <v/>
      </c>
      <c r="I112" s="71" t="str">
        <f t="shared" si="4"/>
        <v/>
      </c>
      <c r="J112" s="71" t="str">
        <f t="shared" si="5"/>
        <v/>
      </c>
      <c r="K112" s="71" t="str">
        <f t="shared" si="6"/>
        <v/>
      </c>
      <c r="L112" s="71" t="str">
        <f t="shared" si="7"/>
        <v/>
      </c>
      <c r="M112" s="78" t="s">
        <v>51</v>
      </c>
      <c r="N112" s="73"/>
      <c r="O112" s="74"/>
      <c r="P112" s="74"/>
      <c r="Q112" s="74"/>
      <c r="R112" s="74"/>
      <c r="S112" s="74"/>
      <c r="T112" s="74"/>
      <c r="U112" s="74"/>
      <c r="V112" s="74"/>
      <c r="W112" s="74"/>
      <c r="X112" s="74"/>
      <c r="Y112" s="75"/>
      <c r="Z112" s="73"/>
      <c r="AA112" s="74"/>
      <c r="AB112" s="74"/>
      <c r="AC112" s="74"/>
      <c r="AD112" s="74"/>
      <c r="AE112" s="74"/>
      <c r="AF112" s="74"/>
      <c r="AG112" s="74"/>
      <c r="AH112" s="74"/>
      <c r="AI112" s="74"/>
      <c r="AJ112" s="74"/>
      <c r="AK112" s="74"/>
      <c r="AL112" s="74"/>
      <c r="AM112" s="74"/>
      <c r="AN112" s="74"/>
      <c r="AO112" s="74"/>
      <c r="AP112" s="74"/>
      <c r="AQ112" s="74"/>
      <c r="AR112" s="74"/>
      <c r="AS112" s="75"/>
      <c r="AT112" s="73"/>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5"/>
    </row>
    <row r="113" spans="1:73" ht="15.75" customHeight="1" x14ac:dyDescent="0.15">
      <c r="A113" s="7"/>
      <c r="B113" s="97">
        <v>49</v>
      </c>
      <c r="C113" s="145" t="str">
        <f>IF('INPUT DATA'!Q58="","",'INPUT DATA'!Q58)</f>
        <v/>
      </c>
      <c r="D113" s="139"/>
      <c r="E113" s="146"/>
      <c r="F113" s="147" t="str">
        <f>IF('INPUT DATA'!R58="","",'INPUT DATA'!R58)</f>
        <v/>
      </c>
      <c r="G113" s="146"/>
      <c r="H113" s="96" t="str">
        <f>IF('INPUT DATA'!S58="","",'INPUT DATA'!S58)</f>
        <v/>
      </c>
      <c r="I113" s="71" t="str">
        <f t="shared" si="4"/>
        <v/>
      </c>
      <c r="J113" s="71" t="str">
        <f t="shared" si="5"/>
        <v/>
      </c>
      <c r="K113" s="71" t="str">
        <f t="shared" si="6"/>
        <v/>
      </c>
      <c r="L113" s="71" t="str">
        <f t="shared" si="7"/>
        <v/>
      </c>
      <c r="M113" s="78" t="s">
        <v>51</v>
      </c>
      <c r="N113" s="73"/>
      <c r="O113" s="74"/>
      <c r="P113" s="74"/>
      <c r="Q113" s="74"/>
      <c r="R113" s="74"/>
      <c r="S113" s="74"/>
      <c r="T113" s="74"/>
      <c r="U113" s="74"/>
      <c r="V113" s="74"/>
      <c r="W113" s="74"/>
      <c r="X113" s="74"/>
      <c r="Y113" s="75"/>
      <c r="Z113" s="73"/>
      <c r="AA113" s="74"/>
      <c r="AB113" s="74"/>
      <c r="AC113" s="74"/>
      <c r="AD113" s="74"/>
      <c r="AE113" s="74"/>
      <c r="AF113" s="74"/>
      <c r="AG113" s="74"/>
      <c r="AH113" s="74"/>
      <c r="AI113" s="74"/>
      <c r="AJ113" s="74"/>
      <c r="AK113" s="74"/>
      <c r="AL113" s="74"/>
      <c r="AM113" s="74"/>
      <c r="AN113" s="74"/>
      <c r="AO113" s="74"/>
      <c r="AP113" s="74"/>
      <c r="AQ113" s="74"/>
      <c r="AR113" s="74"/>
      <c r="AS113" s="75"/>
      <c r="AT113" s="73"/>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5"/>
    </row>
    <row r="114" spans="1:73" ht="15.75" customHeight="1" x14ac:dyDescent="0.15">
      <c r="A114" s="7"/>
      <c r="B114" s="102">
        <v>50</v>
      </c>
      <c r="C114" s="155" t="str">
        <f>IF('INPUT DATA'!Q59="","",'INPUT DATA'!Q59)</f>
        <v/>
      </c>
      <c r="D114" s="156"/>
      <c r="E114" s="157"/>
      <c r="F114" s="158" t="str">
        <f>IF('INPUT DATA'!R59="","",'INPUT DATA'!R59)</f>
        <v/>
      </c>
      <c r="G114" s="157"/>
      <c r="H114" s="103" t="str">
        <f>IF('INPUT DATA'!S59="","",'INPUT DATA'!S59)</f>
        <v/>
      </c>
      <c r="I114" s="98" t="str">
        <f t="shared" si="4"/>
        <v/>
      </c>
      <c r="J114" s="98" t="str">
        <f t="shared" si="5"/>
        <v/>
      </c>
      <c r="K114" s="98" t="str">
        <f t="shared" si="6"/>
        <v/>
      </c>
      <c r="L114" s="98" t="str">
        <f t="shared" si="7"/>
        <v/>
      </c>
      <c r="M114" s="104" t="s">
        <v>51</v>
      </c>
      <c r="N114" s="89"/>
      <c r="O114" s="90"/>
      <c r="P114" s="90"/>
      <c r="Q114" s="90"/>
      <c r="R114" s="90"/>
      <c r="S114" s="90"/>
      <c r="T114" s="90"/>
      <c r="U114" s="90"/>
      <c r="V114" s="90"/>
      <c r="W114" s="90"/>
      <c r="X114" s="90"/>
      <c r="Y114" s="91"/>
      <c r="Z114" s="89"/>
      <c r="AA114" s="90"/>
      <c r="AB114" s="90"/>
      <c r="AC114" s="90"/>
      <c r="AD114" s="90"/>
      <c r="AE114" s="90"/>
      <c r="AF114" s="90"/>
      <c r="AG114" s="90"/>
      <c r="AH114" s="90"/>
      <c r="AI114" s="90"/>
      <c r="AJ114" s="90"/>
      <c r="AK114" s="90"/>
      <c r="AL114" s="90"/>
      <c r="AM114" s="90"/>
      <c r="AN114" s="90"/>
      <c r="AO114" s="90"/>
      <c r="AP114" s="90"/>
      <c r="AQ114" s="90"/>
      <c r="AR114" s="90"/>
      <c r="AS114" s="91"/>
      <c r="AT114" s="89"/>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1"/>
    </row>
    <row r="115" spans="1:73" ht="15.75" customHeight="1" x14ac:dyDescent="0.15">
      <c r="A115" s="5"/>
      <c r="B115" s="5"/>
      <c r="C115" s="9"/>
      <c r="D115" s="7"/>
      <c r="E115" s="7"/>
      <c r="F115" s="7"/>
      <c r="G115" s="7"/>
      <c r="H115" s="7"/>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row>
    <row r="116" spans="1:73" ht="15.75" customHeight="1" x14ac:dyDescent="0.15">
      <c r="A116" s="5"/>
      <c r="B116" s="5"/>
      <c r="C116" s="9"/>
      <c r="D116" s="7"/>
      <c r="E116" s="7"/>
      <c r="F116" s="7"/>
      <c r="G116" s="7"/>
      <c r="H116" s="7"/>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row>
    <row r="117" spans="1:73" ht="15.75" customHeight="1" x14ac:dyDescent="0.15">
      <c r="A117" s="5"/>
      <c r="B117" s="5"/>
      <c r="C117" s="9"/>
      <c r="D117" s="7"/>
      <c r="E117" s="7"/>
      <c r="F117" s="7"/>
      <c r="G117" s="7"/>
      <c r="H117" s="7"/>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row>
    <row r="118" spans="1:73" ht="15.75" customHeight="1" x14ac:dyDescent="0.15">
      <c r="A118" s="5"/>
      <c r="B118" s="5"/>
      <c r="C118" s="9"/>
      <c r="D118" s="7"/>
      <c r="E118" s="7"/>
      <c r="F118" s="7"/>
      <c r="G118" s="7"/>
      <c r="H118" s="7"/>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row>
    <row r="119" spans="1:73" ht="15.75" customHeight="1" x14ac:dyDescent="0.15">
      <c r="A119" s="5"/>
      <c r="B119" s="5"/>
      <c r="C119" s="9"/>
      <c r="D119" s="7"/>
      <c r="E119" s="7"/>
      <c r="F119" s="7"/>
      <c r="G119" s="7"/>
      <c r="H119" s="7"/>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row>
    <row r="120" spans="1:73" ht="15.75" customHeight="1" x14ac:dyDescent="0.15">
      <c r="A120" s="5"/>
      <c r="B120" s="5"/>
      <c r="C120" s="9"/>
      <c r="D120" s="7"/>
      <c r="E120" s="7"/>
      <c r="F120" s="7"/>
      <c r="G120" s="7"/>
      <c r="H120" s="7"/>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row>
    <row r="121" spans="1:73" ht="15.75" customHeight="1" x14ac:dyDescent="0.15">
      <c r="A121" s="5"/>
      <c r="B121" s="5"/>
      <c r="C121" s="9"/>
      <c r="D121" s="7"/>
      <c r="E121" s="7"/>
      <c r="F121" s="7"/>
      <c r="G121" s="7"/>
      <c r="H121" s="7"/>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row>
    <row r="122" spans="1:73" ht="15.75" customHeight="1" x14ac:dyDescent="0.15">
      <c r="A122" s="5"/>
      <c r="B122" s="5"/>
      <c r="C122" s="9"/>
      <c r="D122" s="7"/>
      <c r="E122" s="7"/>
      <c r="F122" s="7"/>
      <c r="G122" s="7"/>
      <c r="H122" s="7"/>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row>
    <row r="123" spans="1:73" ht="15.75" customHeight="1" x14ac:dyDescent="0.15">
      <c r="A123" s="5"/>
      <c r="B123" s="5"/>
      <c r="C123" s="9"/>
      <c r="D123" s="7"/>
      <c r="E123" s="7"/>
      <c r="F123" s="7"/>
      <c r="G123" s="7"/>
      <c r="H123" s="7"/>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row>
    <row r="124" spans="1:73" ht="15.75" customHeight="1" x14ac:dyDescent="0.15"/>
    <row r="125" spans="1:73" ht="15.75" customHeight="1" x14ac:dyDescent="0.15"/>
    <row r="126" spans="1:73" ht="15.75" customHeight="1" x14ac:dyDescent="0.15"/>
    <row r="127" spans="1:73" ht="15.75" customHeight="1" x14ac:dyDescent="0.15"/>
    <row r="128" spans="1:73"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88">
    <mergeCell ref="F55:G55"/>
    <mergeCell ref="F56:G56"/>
    <mergeCell ref="C40:E40"/>
    <mergeCell ref="C41:E41"/>
    <mergeCell ref="C42:E42"/>
    <mergeCell ref="C43:E43"/>
    <mergeCell ref="B65:BU65"/>
    <mergeCell ref="F41:G41"/>
    <mergeCell ref="F42:G42"/>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M9:M14"/>
    <mergeCell ref="B12:E14"/>
    <mergeCell ref="F12:G14"/>
    <mergeCell ref="H12:H14"/>
    <mergeCell ref="I12:I14"/>
    <mergeCell ref="J12:J14"/>
    <mergeCell ref="K12:K14"/>
    <mergeCell ref="L12:L14"/>
    <mergeCell ref="N12:N14"/>
    <mergeCell ref="O12:O14"/>
    <mergeCell ref="P12:P14"/>
    <mergeCell ref="Q12:Q14"/>
    <mergeCell ref="R12:R14"/>
    <mergeCell ref="S12:S14"/>
    <mergeCell ref="N9:Q9"/>
    <mergeCell ref="R9:AD9"/>
    <mergeCell ref="AE9:AG10"/>
    <mergeCell ref="AH9:BU10"/>
    <mergeCell ref="N10:Q10"/>
    <mergeCell ref="R10:AD10"/>
    <mergeCell ref="A1:V4"/>
    <mergeCell ref="E5:G5"/>
    <mergeCell ref="K5:M5"/>
    <mergeCell ref="E6:G6"/>
    <mergeCell ref="K6:M6"/>
    <mergeCell ref="T6:U6"/>
    <mergeCell ref="B9:H11"/>
    <mergeCell ref="I9:J11"/>
    <mergeCell ref="K9:L11"/>
    <mergeCell ref="BT13:BT14"/>
    <mergeCell ref="BU13:BU14"/>
    <mergeCell ref="BM13:BM14"/>
    <mergeCell ref="BN13:BN14"/>
    <mergeCell ref="BO13:BO14"/>
    <mergeCell ref="BP13:BP14"/>
    <mergeCell ref="BQ13:BQ14"/>
    <mergeCell ref="BR13:BR14"/>
    <mergeCell ref="BS13:BS14"/>
    <mergeCell ref="BJ13:BK13"/>
    <mergeCell ref="BL13:BL14"/>
    <mergeCell ref="AZ13:AZ14"/>
    <mergeCell ref="BA13:BA14"/>
    <mergeCell ref="BB13:BB14"/>
    <mergeCell ref="BC13:BC14"/>
    <mergeCell ref="BD13:BD14"/>
    <mergeCell ref="BE13:BE14"/>
    <mergeCell ref="BG13:BH13"/>
    <mergeCell ref="N11:R11"/>
    <mergeCell ref="S11:Y11"/>
    <mergeCell ref="Z11:AS11"/>
    <mergeCell ref="AT11:BU11"/>
    <mergeCell ref="AT12:AW12"/>
    <mergeCell ref="AX12:AY12"/>
    <mergeCell ref="AZ12:BE12"/>
    <mergeCell ref="BF12:BK12"/>
    <mergeCell ref="BL12:BM12"/>
    <mergeCell ref="BN12:BP12"/>
    <mergeCell ref="BQ12:BU12"/>
    <mergeCell ref="AQ12:AQ14"/>
    <mergeCell ref="AR12:AR14"/>
    <mergeCell ref="AJ12:AJ14"/>
    <mergeCell ref="AK12:AK14"/>
    <mergeCell ref="AL12:AL14"/>
    <mergeCell ref="AM12:AM14"/>
    <mergeCell ref="AN12:AN14"/>
    <mergeCell ref="AO12:AO14"/>
    <mergeCell ref="AP12:AP14"/>
    <mergeCell ref="AH12:AH14"/>
    <mergeCell ref="AI12:AI14"/>
    <mergeCell ref="AA12:AA14"/>
    <mergeCell ref="AB12:AB14"/>
    <mergeCell ref="AC12:AC14"/>
    <mergeCell ref="AD12:AD14"/>
    <mergeCell ref="AE12:AE14"/>
    <mergeCell ref="AF12:AF14"/>
    <mergeCell ref="AG12:AG14"/>
    <mergeCell ref="F46:G46"/>
    <mergeCell ref="F47:G47"/>
    <mergeCell ref="F48:G48"/>
    <mergeCell ref="F49:G49"/>
    <mergeCell ref="F50:G50"/>
    <mergeCell ref="F51:G51"/>
    <mergeCell ref="F52:G52"/>
    <mergeCell ref="F53:G53"/>
    <mergeCell ref="F54:G54"/>
    <mergeCell ref="C38:E38"/>
    <mergeCell ref="C39:E39"/>
    <mergeCell ref="F37:G37"/>
    <mergeCell ref="F38:G38"/>
    <mergeCell ref="F39:G39"/>
    <mergeCell ref="F40:G40"/>
    <mergeCell ref="F43:G43"/>
    <mergeCell ref="F44:G44"/>
    <mergeCell ref="F45:G45"/>
    <mergeCell ref="C93:E93"/>
    <mergeCell ref="F93:G93"/>
    <mergeCell ref="F16:G16"/>
    <mergeCell ref="F17:G17"/>
    <mergeCell ref="F18:G18"/>
    <mergeCell ref="F19:G19"/>
    <mergeCell ref="F20:G20"/>
    <mergeCell ref="F21:G21"/>
    <mergeCell ref="F22:G22"/>
    <mergeCell ref="F30:G30"/>
    <mergeCell ref="F31:G31"/>
    <mergeCell ref="F32:G32"/>
    <mergeCell ref="F33:G33"/>
    <mergeCell ref="F34:G34"/>
    <mergeCell ref="F35:G35"/>
    <mergeCell ref="F36:G36"/>
    <mergeCell ref="F23:G23"/>
    <mergeCell ref="F24:G24"/>
    <mergeCell ref="F25:G25"/>
    <mergeCell ref="F26:G26"/>
    <mergeCell ref="F27:G27"/>
    <mergeCell ref="F28:G28"/>
    <mergeCell ref="F29:G29"/>
    <mergeCell ref="C37:E3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 ref="C68:E68"/>
    <mergeCell ref="F68:G68"/>
    <mergeCell ref="F69:G69"/>
    <mergeCell ref="C69:E69"/>
    <mergeCell ref="C70:E70"/>
    <mergeCell ref="F70:G70"/>
    <mergeCell ref="C71:E71"/>
    <mergeCell ref="F71:G71"/>
    <mergeCell ref="C72:E72"/>
    <mergeCell ref="F72:G72"/>
    <mergeCell ref="C59:E59"/>
    <mergeCell ref="C60:E60"/>
    <mergeCell ref="C61:E61"/>
    <mergeCell ref="C62:E62"/>
    <mergeCell ref="C63:E63"/>
    <mergeCell ref="C64:E64"/>
    <mergeCell ref="C66:E66"/>
    <mergeCell ref="F66:G66"/>
    <mergeCell ref="C67:E67"/>
    <mergeCell ref="F67:G67"/>
    <mergeCell ref="C114:E114"/>
    <mergeCell ref="F114:G114"/>
    <mergeCell ref="C108:E108"/>
    <mergeCell ref="F108:G108"/>
    <mergeCell ref="C109:E109"/>
    <mergeCell ref="F109:G109"/>
    <mergeCell ref="C110:E110"/>
    <mergeCell ref="F110:G110"/>
    <mergeCell ref="F111:G111"/>
    <mergeCell ref="C25:E25"/>
    <mergeCell ref="C26:E26"/>
    <mergeCell ref="C27:E27"/>
    <mergeCell ref="C28:E28"/>
    <mergeCell ref="C29:E29"/>
    <mergeCell ref="C111:E111"/>
    <mergeCell ref="C112:E112"/>
    <mergeCell ref="F112:G112"/>
    <mergeCell ref="C113:E113"/>
    <mergeCell ref="F113:G113"/>
    <mergeCell ref="F60:G60"/>
    <mergeCell ref="F61:G61"/>
    <mergeCell ref="F62:G62"/>
    <mergeCell ref="F63:G63"/>
    <mergeCell ref="F64:G64"/>
    <mergeCell ref="C44:E44"/>
    <mergeCell ref="C45:E45"/>
    <mergeCell ref="C46:E46"/>
    <mergeCell ref="C47:E47"/>
    <mergeCell ref="C48:E48"/>
    <mergeCell ref="C49:E49"/>
    <mergeCell ref="C50:E50"/>
    <mergeCell ref="C51:E51"/>
    <mergeCell ref="C52:E52"/>
    <mergeCell ref="C16:E16"/>
    <mergeCell ref="C17:E17"/>
    <mergeCell ref="C18:E18"/>
    <mergeCell ref="C19:E19"/>
    <mergeCell ref="C20:E20"/>
    <mergeCell ref="C21:E21"/>
    <mergeCell ref="C22:E22"/>
    <mergeCell ref="C23:E23"/>
    <mergeCell ref="C24:E24"/>
    <mergeCell ref="F104:G104"/>
    <mergeCell ref="C104:E104"/>
    <mergeCell ref="C105:E105"/>
    <mergeCell ref="F105:G105"/>
    <mergeCell ref="C106:E106"/>
    <mergeCell ref="F106:G106"/>
    <mergeCell ref="C107:E107"/>
    <mergeCell ref="F107:G107"/>
    <mergeCell ref="C30:E30"/>
    <mergeCell ref="C31:E31"/>
    <mergeCell ref="C32:E32"/>
    <mergeCell ref="C33:E33"/>
    <mergeCell ref="C34:E34"/>
    <mergeCell ref="C35:E35"/>
    <mergeCell ref="C36:E36"/>
    <mergeCell ref="F57:G57"/>
    <mergeCell ref="F58:G58"/>
    <mergeCell ref="F59:G59"/>
    <mergeCell ref="C53:E53"/>
    <mergeCell ref="C54:E54"/>
    <mergeCell ref="C55:E55"/>
    <mergeCell ref="C56:E56"/>
    <mergeCell ref="C57:E57"/>
    <mergeCell ref="C58:E58"/>
    <mergeCell ref="C99:E99"/>
    <mergeCell ref="F99:G99"/>
    <mergeCell ref="C100:E100"/>
    <mergeCell ref="F100:G100"/>
    <mergeCell ref="C101:E101"/>
    <mergeCell ref="F101:G101"/>
    <mergeCell ref="C102:E102"/>
    <mergeCell ref="F102:G102"/>
    <mergeCell ref="C103:E103"/>
    <mergeCell ref="F103:G103"/>
    <mergeCell ref="C94:E94"/>
    <mergeCell ref="F94:G94"/>
    <mergeCell ref="C95:E95"/>
    <mergeCell ref="F95:G95"/>
    <mergeCell ref="C96:E96"/>
    <mergeCell ref="F96:G96"/>
    <mergeCell ref="F97:G97"/>
    <mergeCell ref="C97:E97"/>
    <mergeCell ref="C98:E98"/>
    <mergeCell ref="F98:G98"/>
  </mergeCells>
  <dataValidations count="44">
    <dataValidation type="list" allowBlank="1" showDropDown="1" showInputMessage="1" showErrorMessage="1" prompt="Identifies attributes of objects (color, shape, size)" sqref="Z12 AB12 AD12 AF12 AH12 AJ12 AL12 AN12 AP12 AR12" xr:uid="{00000000-0002-0000-0500-000000000000}">
      <formula1>"1"</formula1>
    </dataValidation>
    <dataValidation type="list" allowBlank="1" showDropDown="1" showInputMessage="1" showErrorMessage="1" prompt="Expresses ideas and feelings using phrases and simple sentences" sqref="BE13" xr:uid="{00000000-0002-0000-0500-000001000000}">
      <formula1>"12"</formula1>
    </dataValidation>
    <dataValidation type="list" allowBlank="1" showDropDown="1" showInputMessage="1" showErrorMessage="1" prompt="Identifies letter sound" sqref="BJ14" xr:uid="{00000000-0002-0000-0500-000002000000}">
      <formula1>"17"</formula1>
    </dataValidation>
    <dataValidation type="list" allowBlank="1" showDropDown="1" showInputMessage="1" showErrorMessage="1" prompt="Identifies and expresses feelings in appropriate ways" sqref="S12" xr:uid="{00000000-0002-0000-0500-000003000000}">
      <formula1>"1"</formula1>
    </dataValidation>
    <dataValidation type="list" allowBlank="1" showDropDown="1" showInputMessage="1" showErrorMessage="1" prompt="Retells personal experiences to story events" sqref="BD13" xr:uid="{00000000-0002-0000-0500-000004000000}">
      <formula1>"11"</formula1>
    </dataValidation>
    <dataValidation type="list" allowBlank="1" showDropDown="1" showInputMessage="1" showErrorMessage="1" prompt="Demonstrates awareness of print (left to right and top to bottom)" sqref="BP13" xr:uid="{00000000-0002-0000-0500-000005000000}">
      <formula1>"23"</formula1>
    </dataValidation>
    <dataValidation type="list" allowBlank="1" showDropDown="1" showInputMessage="1" showErrorMessage="1" prompt="Spells simple words phonetically" sqref="BU13" xr:uid="{00000000-0002-0000-0500-000006000000}">
      <formula1>"28"</formula1>
    </dataValidation>
    <dataValidation type="list" allowBlank="1" showDropDown="1" showInputMessage="1" showErrorMessage="1" prompt="Recognizes sight words" sqref="AY13" xr:uid="{00000000-0002-0000-0500-000007000000}">
      <formula1>"6"</formula1>
    </dataValidation>
    <dataValidation type="list" allowBlank="1" showDropDown="1" showInputMessage="1" showErrorMessage="1" prompt="Identifies classmates, teachers, family member" sqref="BA13" xr:uid="{00000000-0002-0000-0500-000008000000}">
      <formula1>"8"</formula1>
    </dataValidation>
    <dataValidation type="list" allowBlank="1" showDropDown="1" showInputMessage="1" showErrorMessage="1" prompt="Identifies familiar objects at home, in school and in the community" sqref="BB13" xr:uid="{00000000-0002-0000-0500-000009000000}">
      <formula1>"9"</formula1>
    </dataValidation>
    <dataValidation type="list" allowBlank="1" showDropDown="1" showInputMessage="1" showErrorMessage="1" prompt="Orally segment sounds a. syllable  b. onset and rime  c. phoneme by phoneme" sqref="BF14" xr:uid="{00000000-0002-0000-0500-00000A000000}">
      <formula1>"13"</formula1>
    </dataValidation>
    <dataValidation type="list" allowBlank="1" showDropDown="1" showInputMessage="1" showErrorMessage="1" prompt="Identifies ways to care for and protects one’s body" sqref="O12" xr:uid="{00000000-0002-0000-0500-00000B000000}">
      <formula1>"2"</formula1>
    </dataValidation>
    <dataValidation type="list" allowBlank="1" showDropDown="1" showInputMessage="1" showErrorMessage="1" prompt="Demonstrates gross motor skills (locomotor, non-locomotor)" sqref="P12" xr:uid="{00000000-0002-0000-0500-00000C000000}">
      <formula1>"3"</formula1>
    </dataValidation>
    <dataValidation type="list" allowBlank="1" showDropDown="1" showInputMessage="1" showErrorMessage="1" prompt="Participates in classroom routines and activities" sqref="W12" xr:uid="{00000000-0002-0000-0500-00000D000000}">
      <formula1>"5"</formula1>
    </dataValidation>
    <dataValidation type="list" allowBlank="1" showDropDown="1" showInputMessage="1" showErrorMessage="1" prompt="Spells sight words" sqref="BT13" xr:uid="{00000000-0002-0000-0500-00000E000000}">
      <formula1>"27"</formula1>
    </dataValidation>
    <dataValidation type="list" allowBlank="1" showDropDown="1" showInputMessage="1" showErrorMessage="1" prompt="Follows classroom and school rules" sqref="X12" xr:uid="{00000000-0002-0000-0500-00000F000000}">
      <formula1>"6"</formula1>
    </dataValidation>
    <dataValidation type="list" allowBlank="1" showDropDown="1" showInputMessage="1" showErrorMessage="1" prompt="Recognizes non-decodable words in and out of context automatically" sqref="AX13" xr:uid="{00000000-0002-0000-0500-000010000000}">
      <formula1>"5"</formula1>
    </dataValidation>
    <dataValidation type="list" allowBlank="1" showDropDown="1" showInputMessage="1" showErrorMessage="1" prompt="Identifies lowercase letters" sqref="BH14" xr:uid="{00000000-0002-0000-0500-000011000000}">
      <formula1>"15"</formula1>
    </dataValidation>
    <dataValidation type="list" allowBlank="1" showDropDown="1" showInputMessage="1" showErrorMessage="1" prompt="Demonstrates fine motor skills (tearing, cutting, rolling, molding with playdough)" sqref="R12" xr:uid="{00000000-0002-0000-0500-000012000000}">
      <formula1>"5"</formula1>
    </dataValidation>
    <dataValidation type="list" allowBlank="1" showDropDown="1" showInputMessage="1" showErrorMessage="1" prompt="Traces/draws/copies shapes, designs, pictures" sqref="BQ13" xr:uid="{00000000-0002-0000-0500-000013000000}">
      <formula1>"24"</formula1>
    </dataValidation>
    <dataValidation type="list" allowBlank="1" showDropDown="1" showInputMessage="1" showErrorMessage="1" prompt="Uses a variety of strategies to gain meaning of leveled texts" sqref="BL13" xr:uid="{00000000-0002-0000-0500-000014000000}">
      <formula1>"19"</formula1>
    </dataValidation>
    <dataValidation type="list" allowBlank="1" showDropDown="1" showInputMessage="1" showErrorMessage="1" prompt="Identifies external body parts and their functions" sqref="N12" xr:uid="{00000000-0002-0000-0500-000015000000}">
      <formula1>"1"</formula1>
    </dataValidation>
    <dataValidation type="list" allowBlank="1" showDropDown="1" showInputMessage="1" showErrorMessage="1" prompt="Fulfills classroom responsibilities" sqref="Y12" xr:uid="{00000000-0002-0000-0500-000016000000}">
      <formula1>"7"</formula1>
    </dataValidation>
    <dataValidation type="list" allowBlank="1" showDropDown="1" showInputMessage="1" showErrorMessage="1" prompt="Retells story in sequence " sqref="AV13" xr:uid="{00000000-0002-0000-0500-000017000000}">
      <formula1>"3"</formula1>
    </dataValidation>
    <dataValidation type="list" allowBlank="1" showDropDown="1" showInputMessage="1" showErrorMessage="1" prompt="Writes uppercase and lowercase letters" sqref="BS13" xr:uid="{00000000-0002-0000-0500-000018000000}">
      <formula1>"26"</formula1>
    </dataValidation>
    <dataValidation type="list" allowBlank="1" showDropDown="1" showInputMessage="1" showErrorMessage="1" prompt="Recalls what happens first, middle and end in a story" sqref="AU13" xr:uid="{00000000-0002-0000-0500-000019000000}">
      <formula1>"2"</formula1>
    </dataValidation>
    <dataValidation type="list" allowBlank="1" showDropDown="1" showInputMessage="1" showErrorMessage="1" prompt="Traces/copies/writes name, words" sqref="BR13" xr:uid="{00000000-0002-0000-0500-00001A000000}">
      <formula1>"25"</formula1>
    </dataValidation>
    <dataValidation type="list" allowBlank="1" showErrorMessage="1" sqref="N16:BU64 N66:BU114" xr:uid="{00000000-0002-0000-0500-00001B000000}">
      <formula1>"CO,DV,BG"</formula1>
    </dataValidation>
    <dataValidation type="list" allowBlank="1" showDropDown="1" showInputMessage="1" showErrorMessage="1" prompt="Recognizes and respect feelings of others" sqref="T12" xr:uid="{00000000-0002-0000-0500-00001C000000}">
      <formula1>"2"</formula1>
    </dataValidation>
    <dataValidation type="list" allowBlank="1" showDropDown="1" showInputMessage="1" showErrorMessage="1" prompt="Identifies uppercase letters" sqref="BG14" xr:uid="{00000000-0002-0000-0500-00001D000000}">
      <formula1>"14"</formula1>
    </dataValidation>
    <dataValidation type="list" allowBlank="1" showDropDown="1" showInputMessage="1" showErrorMessage="1" prompt="Behaves appropriately in different situations" sqref="V12" xr:uid="{00000000-0002-0000-0500-00001E000000}">
      <formula1>"4"</formula1>
    </dataValidation>
    <dataValidation type="list" allowBlank="1" showDropDown="1" showInputMessage="1" showErrorMessage="1" prompt="Identifies familiar environmental sound" sqref="AT13" xr:uid="{00000000-0002-0000-0500-00001F000000}">
      <formula1>"1"</formula1>
    </dataValidation>
    <dataValidation type="list" allowBlank="1" showDropDown="1" showInputMessage="1" showErrorMessage="1" prompt="Uses print and illustrations to make meaning" sqref="BM13" xr:uid="{00000000-0002-0000-0500-000020000000}">
      <formula1>"20"</formula1>
    </dataValidation>
    <dataValidation type="list" allowBlank="1" showDropDown="1" showInputMessage="1" showErrorMessage="1" prompt="Moves body parts as directed" sqref="Q12" xr:uid="{00000000-0002-0000-0500-000021000000}">
      <formula1>"4"</formula1>
    </dataValidation>
    <dataValidation type="list" allowBlank="1" showErrorMessage="1" sqref="M16:M64 M66:M114" xr:uid="{00000000-0002-0000-0500-000022000000}">
      <formula1>"F,M"</formula1>
    </dataValidation>
    <dataValidation type="list" allowBlank="1" showDropDown="1" showInputMessage="1" showErrorMessage="1" prompt="Follows 1-2 step instructions" sqref="AW13" xr:uid="{00000000-0002-0000-0500-000023000000}">
      <formula1>"4"</formula1>
    </dataValidation>
    <dataValidation type="list" allowBlank="1" showDropDown="1" showInputMessage="1" showErrorMessage="1" prompt="Expresses needs and preferences" sqref="U12" xr:uid="{00000000-0002-0000-0500-000024000000}">
      <formula1>"3"</formula1>
    </dataValidation>
    <dataValidation type="list" allowBlank="1" showDropDown="1" showInputMessage="1" showErrorMessage="1" prompt="Matches upper and lowercase letters" sqref="BI14" xr:uid="{00000000-0002-0000-0500-000025000000}">
      <formula1>"16"</formula1>
    </dataValidation>
    <dataValidation type="list" allowBlank="1" showDropDown="1" showInputMessage="1" showErrorMessage="1" prompt="Uses polite greetings and courteous expressions in varied situations" sqref="BC13" xr:uid="{00000000-0002-0000-0500-000026000000}">
      <formula1>"10"</formula1>
    </dataValidation>
    <dataValidation type="list" allowBlank="1" showDropDown="1" showInputMessage="1" showErrorMessage="1" prompt="Demonstrates book handling skills" sqref="BN13" xr:uid="{00000000-0002-0000-0500-000027000000}">
      <formula1>"21"</formula1>
    </dataValidation>
    <dataValidation type="list" allowBlank="1" showDropDown="1" showInputMessage="1" showErrorMessage="1" prompt="Matches objects based on attributes" sqref="AA12 AC12 AE12 AG12 AI12 AK12 AM12 AO12 AQ12 AS12" xr:uid="{00000000-0002-0000-0500-000028000000}">
      <formula1>"2"</formula1>
    </dataValidation>
    <dataValidation type="list" allowBlank="1" showDropDown="1" showInputMessage="1" showErrorMessage="1" prompt="Identifies first and last name" sqref="AZ13" xr:uid="{00000000-0002-0000-0500-000029000000}">
      <formula1>"7"</formula1>
    </dataValidation>
    <dataValidation type="list" allowBlank="1" showDropDown="1" showInputMessage="1" showErrorMessage="1" prompt="Matches letters and their corresponding sounds" sqref="BK14" xr:uid="{00000000-0002-0000-0500-00002A000000}">
      <formula1>"18"</formula1>
    </dataValidation>
    <dataValidation type="list" allowBlank="1" showDropDown="1" showInputMessage="1" showErrorMessage="1" prompt="Distinguishes between letters, words, and sentences" sqref="BO13" xr:uid="{00000000-0002-0000-0500-00002B000000}">
      <formula1>"22"</formula1>
    </dataValidation>
  </dataValidations>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baseColWidth="10" defaultColWidth="12.6640625" defaultRowHeight="15" customHeight="1" x14ac:dyDescent="0.15"/>
  <cols>
    <col min="1" max="26" width="8.6640625" customWidth="1"/>
  </cols>
  <sheetData>
    <row r="1" spans="1:1" ht="12.75" customHeight="1" x14ac:dyDescent="0.15">
      <c r="A1" s="11" t="str">
        <f t="array" aca="1" ref="A1" ca="1">IFERROR(IF(ROWS($A$1:A1)&lt;=COUNTA('INPUT DATA'!$L$11:$L$60),INDEX('INPUT DATA'!$L$11:$L$60,_xludf.AGGREGATE(15,6,(ROW('INPUT DATA'!$L$11:$L$60)-ROW('INPUT DATA'!$L$11)+1)/('INPUT DATA'!$L$11:$L$60&lt;&gt;""),ROWS($A$1:A1))),INDEX('INPUT DATA'!$Q$11:$Q$60,_xludf.AGGREGATE(15,6,(ROW('INPUT DATA'!$Q$11:$Q$60)-ROW('INPUT DATA'!$Q$11)+1)/('INPUT DATA'!$Q$11:$Q$60&lt;&gt;""),ROWS($A$1:A1)-COUNTA('INPUT DATA'!$L$11:$L$60)))),"")</f>
        <v/>
      </c>
    </row>
    <row r="2" spans="1:1" ht="12.75" customHeight="1" x14ac:dyDescent="0.15">
      <c r="A2" s="11" t="str">
        <f t="array" aca="1" ref="A2" ca="1">IFERROR(IF(ROWS($A$1:A2)&lt;=COUNTA('INPUT DATA'!$L$11:$L$60),INDEX('INPUT DATA'!$L$11:$L$60,_xludf.AGGREGATE(15,6,(ROW('INPUT DATA'!$L$11:$L$60)-ROW('INPUT DATA'!$L$11)+1)/('INPUT DATA'!$L$11:$L$60&lt;&gt;""),ROWS($A$1:A2))),INDEX('INPUT DATA'!$Q$11:$Q$60,_xludf.AGGREGATE(15,6,(ROW('INPUT DATA'!$Q$11:$Q$60)-ROW('INPUT DATA'!$Q$11)+1)/('INPUT DATA'!$Q$11:$Q$60&lt;&gt;""),ROWS($A$1:A2)-COUNTA('INPUT DATA'!$L$11:$L$60)))),"")</f>
        <v/>
      </c>
    </row>
    <row r="3" spans="1:1" ht="12.75" customHeight="1" x14ac:dyDescent="0.15">
      <c r="A3" s="11" t="str">
        <f t="array" aca="1" ref="A3" ca="1">IFERROR(IF(ROWS($A$1:A3)&lt;=COUNTA('INPUT DATA'!$L$11:$L$60),INDEX('INPUT DATA'!$L$11:$L$60,_xludf.AGGREGATE(15,6,(ROW('INPUT DATA'!$L$11:$L$60)-ROW('INPUT DATA'!$L$11)+1)/('INPUT DATA'!$L$11:$L$60&lt;&gt;""),ROWS($A$1:A3))),INDEX('INPUT DATA'!$Q$11:$Q$60,_xludf.AGGREGATE(15,6,(ROW('INPUT DATA'!$Q$11:$Q$60)-ROW('INPUT DATA'!$Q$11)+1)/('INPUT DATA'!$Q$11:$Q$60&lt;&gt;""),ROWS($A$1:A3)-COUNTA('INPUT DATA'!$L$11:$L$60)))),"")</f>
        <v/>
      </c>
    </row>
    <row r="4" spans="1:1" ht="12.75" customHeight="1" x14ac:dyDescent="0.15">
      <c r="A4" s="11" t="str">
        <f t="array" aca="1" ref="A4" ca="1">IFERROR(IF(ROWS($A$1:A4)&lt;=COUNTA('INPUT DATA'!$L$11:$L$60),INDEX('INPUT DATA'!$L$11:$L$60,_xludf.AGGREGATE(15,6,(ROW('INPUT DATA'!$L$11:$L$60)-ROW('INPUT DATA'!$L$11)+1)/('INPUT DATA'!$L$11:$L$60&lt;&gt;""),ROWS($A$1:A4))),INDEX('INPUT DATA'!$Q$11:$Q$60,_xludf.AGGREGATE(15,6,(ROW('INPUT DATA'!$Q$11:$Q$60)-ROW('INPUT DATA'!$Q$11)+1)/('INPUT DATA'!$Q$11:$Q$60&lt;&gt;""),ROWS($A$1:A4)-COUNTA('INPUT DATA'!$L$11:$L$60)))),"")</f>
        <v/>
      </c>
    </row>
    <row r="5" spans="1:1" ht="12.75" customHeight="1" x14ac:dyDescent="0.15">
      <c r="A5" s="11" t="str">
        <f t="array" aca="1" ref="A5" ca="1">IFERROR(IF(ROWS($A$1:A5)&lt;=COUNTA('INPUT DATA'!$L$11:$L$60),INDEX('INPUT DATA'!$L$11:$L$60,_xludf.AGGREGATE(15,6,(ROW('INPUT DATA'!$L$11:$L$60)-ROW('INPUT DATA'!$L$11)+1)/('INPUT DATA'!$L$11:$L$60&lt;&gt;""),ROWS($A$1:A5))),INDEX('INPUT DATA'!$Q$11:$Q$60,_xludf.AGGREGATE(15,6,(ROW('INPUT DATA'!$Q$11:$Q$60)-ROW('INPUT DATA'!$Q$11)+1)/('INPUT DATA'!$Q$11:$Q$60&lt;&gt;""),ROWS($A$1:A5)-COUNTA('INPUT DATA'!$L$11:$L$60)))),"")</f>
        <v/>
      </c>
    </row>
    <row r="6" spans="1:1" ht="12.75" customHeight="1" x14ac:dyDescent="0.15">
      <c r="A6" s="11" t="str">
        <f t="array" aca="1" ref="A6" ca="1">IFERROR(IF(ROWS($A$1:A6)&lt;=COUNTA('INPUT DATA'!$L$11:$L$60),INDEX('INPUT DATA'!$L$11:$L$60,_xludf.AGGREGATE(15,6,(ROW('INPUT DATA'!$L$11:$L$60)-ROW('INPUT DATA'!$L$11)+1)/('INPUT DATA'!$L$11:$L$60&lt;&gt;""),ROWS($A$1:A6))),INDEX('INPUT DATA'!$Q$11:$Q$60,_xludf.AGGREGATE(15,6,(ROW('INPUT DATA'!$Q$11:$Q$60)-ROW('INPUT DATA'!$Q$11)+1)/('INPUT DATA'!$Q$11:$Q$60&lt;&gt;""),ROWS($A$1:A6)-COUNTA('INPUT DATA'!$L$11:$L$60)))),"")</f>
        <v/>
      </c>
    </row>
    <row r="7" spans="1:1" ht="12.75" customHeight="1" x14ac:dyDescent="0.15">
      <c r="A7" s="11" t="str">
        <f t="array" aca="1" ref="A7" ca="1">IFERROR(IF(ROWS($A$1:A7)&lt;=COUNTA('INPUT DATA'!$L$11:$L$60),INDEX('INPUT DATA'!$L$11:$L$60,_xludf.AGGREGATE(15,6,(ROW('INPUT DATA'!$L$11:$L$60)-ROW('INPUT DATA'!$L$11)+1)/('INPUT DATA'!$L$11:$L$60&lt;&gt;""),ROWS($A$1:A7))),INDEX('INPUT DATA'!$Q$11:$Q$60,_xludf.AGGREGATE(15,6,(ROW('INPUT DATA'!$Q$11:$Q$60)-ROW('INPUT DATA'!$Q$11)+1)/('INPUT DATA'!$Q$11:$Q$60&lt;&gt;""),ROWS($A$1:A7)-COUNTA('INPUT DATA'!$L$11:$L$60)))),"")</f>
        <v/>
      </c>
    </row>
    <row r="8" spans="1:1" ht="12.75" customHeight="1" x14ac:dyDescent="0.15">
      <c r="A8" s="11" t="str">
        <f t="array" aca="1" ref="A8" ca="1">IFERROR(IF(ROWS($A$1:A8)&lt;=COUNTA('INPUT DATA'!$L$11:$L$60),INDEX('INPUT DATA'!$L$11:$L$60,_xludf.AGGREGATE(15,6,(ROW('INPUT DATA'!$L$11:$L$60)-ROW('INPUT DATA'!$L$11)+1)/('INPUT DATA'!$L$11:$L$60&lt;&gt;""),ROWS($A$1:A8))),INDEX('INPUT DATA'!$Q$11:$Q$60,_xludf.AGGREGATE(15,6,(ROW('INPUT DATA'!$Q$11:$Q$60)-ROW('INPUT DATA'!$Q$11)+1)/('INPUT DATA'!$Q$11:$Q$60&lt;&gt;""),ROWS($A$1:A8)-COUNTA('INPUT DATA'!$L$11:$L$60)))),"")</f>
        <v/>
      </c>
    </row>
    <row r="9" spans="1:1" ht="12.75" customHeight="1" x14ac:dyDescent="0.15">
      <c r="A9" s="11" t="str">
        <f t="array" aca="1" ref="A9" ca="1">IFERROR(IF(ROWS($A$1:A9)&lt;=COUNTA('INPUT DATA'!$L$11:$L$60),INDEX('INPUT DATA'!$L$11:$L$60,_xludf.AGGREGATE(15,6,(ROW('INPUT DATA'!$L$11:$L$60)-ROW('INPUT DATA'!$L$11)+1)/('INPUT DATA'!$L$11:$L$60&lt;&gt;""),ROWS($A$1:A9))),INDEX('INPUT DATA'!$Q$11:$Q$60,_xludf.AGGREGATE(15,6,(ROW('INPUT DATA'!$Q$11:$Q$60)-ROW('INPUT DATA'!$Q$11)+1)/('INPUT DATA'!$Q$11:$Q$60&lt;&gt;""),ROWS($A$1:A9)-COUNTA('INPUT DATA'!$L$11:$L$60)))),"")</f>
        <v/>
      </c>
    </row>
    <row r="10" spans="1:1" ht="12.75" customHeight="1" x14ac:dyDescent="0.15">
      <c r="A10" s="11" t="str">
        <f t="array" aca="1" ref="A10" ca="1">IFERROR(IF(ROWS($A$1:A10)&lt;=COUNTA('INPUT DATA'!$L$11:$L$60),INDEX('INPUT DATA'!$L$11:$L$60,_xludf.AGGREGATE(15,6,(ROW('INPUT DATA'!$L$11:$L$60)-ROW('INPUT DATA'!$L$11)+1)/('INPUT DATA'!$L$11:$L$60&lt;&gt;""),ROWS($A$1:A10))),INDEX('INPUT DATA'!$Q$11:$Q$60,_xludf.AGGREGATE(15,6,(ROW('INPUT DATA'!$Q$11:$Q$60)-ROW('INPUT DATA'!$Q$11)+1)/('INPUT DATA'!$Q$11:$Q$60&lt;&gt;""),ROWS($A$1:A10)-COUNTA('INPUT DATA'!$L$11:$L$60)))),"")</f>
        <v/>
      </c>
    </row>
    <row r="11" spans="1:1" ht="12.75" customHeight="1" x14ac:dyDescent="0.15">
      <c r="A11" s="11" t="str">
        <f t="array" aca="1" ref="A11" ca="1">IFERROR(IF(ROWS($A$1:A11)&lt;=COUNTA('INPUT DATA'!$L$11:$L$60),INDEX('INPUT DATA'!$L$11:$L$60,_xludf.AGGREGATE(15,6,(ROW('INPUT DATA'!$L$11:$L$60)-ROW('INPUT DATA'!$L$11)+1)/('INPUT DATA'!$L$11:$L$60&lt;&gt;""),ROWS($A$1:A11))),INDEX('INPUT DATA'!$Q$11:$Q$60,_xludf.AGGREGATE(15,6,(ROW('INPUT DATA'!$Q$11:$Q$60)-ROW('INPUT DATA'!$Q$11)+1)/('INPUT DATA'!$Q$11:$Q$60&lt;&gt;""),ROWS($A$1:A11)-COUNTA('INPUT DATA'!$L$11:$L$60)))),"")</f>
        <v/>
      </c>
    </row>
    <row r="12" spans="1:1" ht="12.75" customHeight="1" x14ac:dyDescent="0.15">
      <c r="A12" s="11" t="str">
        <f t="array" aca="1" ref="A12" ca="1">IFERROR(IF(ROWS($A$1:A12)&lt;=COUNTA('INPUT DATA'!$L$11:$L$60),INDEX('INPUT DATA'!$L$11:$L$60,_xludf.AGGREGATE(15,6,(ROW('INPUT DATA'!$L$11:$L$60)-ROW('INPUT DATA'!$L$11)+1)/('INPUT DATA'!$L$11:$L$60&lt;&gt;""),ROWS($A$1:A12))),INDEX('INPUT DATA'!$Q$11:$Q$60,_xludf.AGGREGATE(15,6,(ROW('INPUT DATA'!$Q$11:$Q$60)-ROW('INPUT DATA'!$Q$11)+1)/('INPUT DATA'!$Q$11:$Q$60&lt;&gt;""),ROWS($A$1:A12)-COUNTA('INPUT DATA'!$L$11:$L$60)))),"")</f>
        <v/>
      </c>
    </row>
    <row r="13" spans="1:1" ht="12.75" customHeight="1" x14ac:dyDescent="0.15">
      <c r="A13" s="11" t="str">
        <f t="array" aca="1" ref="A13" ca="1">IFERROR(IF(ROWS($A$1:A13)&lt;=COUNTA('INPUT DATA'!$L$11:$L$60),INDEX('INPUT DATA'!$L$11:$L$60,_xludf.AGGREGATE(15,6,(ROW('INPUT DATA'!$L$11:$L$60)-ROW('INPUT DATA'!$L$11)+1)/('INPUT DATA'!$L$11:$L$60&lt;&gt;""),ROWS($A$1:A13))),INDEX('INPUT DATA'!$Q$11:$Q$60,_xludf.AGGREGATE(15,6,(ROW('INPUT DATA'!$Q$11:$Q$60)-ROW('INPUT DATA'!$Q$11)+1)/('INPUT DATA'!$Q$11:$Q$60&lt;&gt;""),ROWS($A$1:A13)-COUNTA('INPUT DATA'!$L$11:$L$60)))),"")</f>
        <v/>
      </c>
    </row>
    <row r="14" spans="1:1" ht="12.75" customHeight="1" x14ac:dyDescent="0.15">
      <c r="A14" s="11" t="str">
        <f t="array" aca="1" ref="A14" ca="1">IFERROR(IF(ROWS($A$1:A14)&lt;=COUNTA('INPUT DATA'!$L$11:$L$60),INDEX('INPUT DATA'!$L$11:$L$60,_xludf.AGGREGATE(15,6,(ROW('INPUT DATA'!$L$11:$L$60)-ROW('INPUT DATA'!$L$11)+1)/('INPUT DATA'!$L$11:$L$60&lt;&gt;""),ROWS($A$1:A14))),INDEX('INPUT DATA'!$Q$11:$Q$60,_xludf.AGGREGATE(15,6,(ROW('INPUT DATA'!$Q$11:$Q$60)-ROW('INPUT DATA'!$Q$11)+1)/('INPUT DATA'!$Q$11:$Q$60&lt;&gt;""),ROWS($A$1:A14)-COUNTA('INPUT DATA'!$L$11:$L$60)))),"")</f>
        <v/>
      </c>
    </row>
    <row r="15" spans="1:1" ht="12.75" customHeight="1" x14ac:dyDescent="0.15">
      <c r="A15" s="11" t="str">
        <f t="array" aca="1" ref="A15" ca="1">IFERROR(IF(ROWS($A$1:A15)&lt;=COUNTA('INPUT DATA'!$L$11:$L$60),INDEX('INPUT DATA'!$L$11:$L$60,_xludf.AGGREGATE(15,6,(ROW('INPUT DATA'!$L$11:$L$60)-ROW('INPUT DATA'!$L$11)+1)/('INPUT DATA'!$L$11:$L$60&lt;&gt;""),ROWS($A$1:A15))),INDEX('INPUT DATA'!$Q$11:$Q$60,_xludf.AGGREGATE(15,6,(ROW('INPUT DATA'!$Q$11:$Q$60)-ROW('INPUT DATA'!$Q$11)+1)/('INPUT DATA'!$Q$11:$Q$60&lt;&gt;""),ROWS($A$1:A15)-COUNTA('INPUT DATA'!$L$11:$L$60)))),"")</f>
        <v/>
      </c>
    </row>
    <row r="16" spans="1:1" ht="12.75" customHeight="1" x14ac:dyDescent="0.15">
      <c r="A16" s="11" t="str">
        <f t="array" aca="1" ref="A16" ca="1">IFERROR(IF(ROWS($A$1:A16)&lt;=COUNTA('INPUT DATA'!$L$11:$L$60),INDEX('INPUT DATA'!$L$11:$L$60,_xludf.AGGREGATE(15,6,(ROW('INPUT DATA'!$L$11:$L$60)-ROW('INPUT DATA'!$L$11)+1)/('INPUT DATA'!$L$11:$L$60&lt;&gt;""),ROWS($A$1:A16))),INDEX('INPUT DATA'!$Q$11:$Q$60,_xludf.AGGREGATE(15,6,(ROW('INPUT DATA'!$Q$11:$Q$60)-ROW('INPUT DATA'!$Q$11)+1)/('INPUT DATA'!$Q$11:$Q$60&lt;&gt;""),ROWS($A$1:A16)-COUNTA('INPUT DATA'!$L$11:$L$60)))),"")</f>
        <v/>
      </c>
    </row>
    <row r="17" spans="1:1" ht="12.75" customHeight="1" x14ac:dyDescent="0.15">
      <c r="A17" s="11" t="str">
        <f t="array" aca="1" ref="A17" ca="1">IFERROR(IF(ROWS($A$1:A17)&lt;=COUNTA('INPUT DATA'!$L$11:$L$60),INDEX('INPUT DATA'!$L$11:$L$60,_xludf.AGGREGATE(15,6,(ROW('INPUT DATA'!$L$11:$L$60)-ROW('INPUT DATA'!$L$11)+1)/('INPUT DATA'!$L$11:$L$60&lt;&gt;""),ROWS($A$1:A17))),INDEX('INPUT DATA'!$Q$11:$Q$60,_xludf.AGGREGATE(15,6,(ROW('INPUT DATA'!$Q$11:$Q$60)-ROW('INPUT DATA'!$Q$11)+1)/('INPUT DATA'!$Q$11:$Q$60&lt;&gt;""),ROWS($A$1:A17)-COUNTA('INPUT DATA'!$L$11:$L$60)))),"")</f>
        <v/>
      </c>
    </row>
    <row r="18" spans="1:1" ht="12.75" customHeight="1" x14ac:dyDescent="0.15">
      <c r="A18" s="11" t="str">
        <f t="array" aca="1" ref="A18" ca="1">IFERROR(IF(ROWS($A$1:A18)&lt;=COUNTA('INPUT DATA'!$L$11:$L$60),INDEX('INPUT DATA'!$L$11:$L$60,_xludf.AGGREGATE(15,6,(ROW('INPUT DATA'!$L$11:$L$60)-ROW('INPUT DATA'!$L$11)+1)/('INPUT DATA'!$L$11:$L$60&lt;&gt;""),ROWS($A$1:A18))),INDEX('INPUT DATA'!$Q$11:$Q$60,_xludf.AGGREGATE(15,6,(ROW('INPUT DATA'!$Q$11:$Q$60)-ROW('INPUT DATA'!$Q$11)+1)/('INPUT DATA'!$Q$11:$Q$60&lt;&gt;""),ROWS($A$1:A18)-COUNTA('INPUT DATA'!$L$11:$L$60)))),"")</f>
        <v/>
      </c>
    </row>
    <row r="19" spans="1:1" ht="12.75" customHeight="1" x14ac:dyDescent="0.15">
      <c r="A19" s="11" t="str">
        <f t="array" aca="1" ref="A19" ca="1">IFERROR(IF(ROWS($A$1:A19)&lt;=COUNTA('INPUT DATA'!$L$11:$L$60),INDEX('INPUT DATA'!$L$11:$L$60,_xludf.AGGREGATE(15,6,(ROW('INPUT DATA'!$L$11:$L$60)-ROW('INPUT DATA'!$L$11)+1)/('INPUT DATA'!$L$11:$L$60&lt;&gt;""),ROWS($A$1:A19))),INDEX('INPUT DATA'!$Q$11:$Q$60,_xludf.AGGREGATE(15,6,(ROW('INPUT DATA'!$Q$11:$Q$60)-ROW('INPUT DATA'!$Q$11)+1)/('INPUT DATA'!$Q$11:$Q$60&lt;&gt;""),ROWS($A$1:A19)-COUNTA('INPUT DATA'!$L$11:$L$60)))),"")</f>
        <v/>
      </c>
    </row>
    <row r="20" spans="1:1" ht="12.75" customHeight="1" x14ac:dyDescent="0.15">
      <c r="A20" s="11" t="str">
        <f t="array" aca="1" ref="A20" ca="1">IFERROR(IF(ROWS($A$1:A20)&lt;=COUNTA('INPUT DATA'!$L$11:$L$60),INDEX('INPUT DATA'!$L$11:$L$60,_xludf.AGGREGATE(15,6,(ROW('INPUT DATA'!$L$11:$L$60)-ROW('INPUT DATA'!$L$11)+1)/('INPUT DATA'!$L$11:$L$60&lt;&gt;""),ROWS($A$1:A20))),INDEX('INPUT DATA'!$Q$11:$Q$60,_xludf.AGGREGATE(15,6,(ROW('INPUT DATA'!$Q$11:$Q$60)-ROW('INPUT DATA'!$Q$11)+1)/('INPUT DATA'!$Q$11:$Q$60&lt;&gt;""),ROWS($A$1:A20)-COUNTA('INPUT DATA'!$L$11:$L$60)))),"")</f>
        <v/>
      </c>
    </row>
    <row r="21" spans="1:1" ht="12.75" customHeight="1" x14ac:dyDescent="0.15">
      <c r="A21" s="11" t="str">
        <f t="array" aca="1" ref="A21" ca="1">IFERROR(IF(ROWS($A$1:A21)&lt;=COUNTA('INPUT DATA'!$L$11:$L$60),INDEX('INPUT DATA'!$L$11:$L$60,_xludf.AGGREGATE(15,6,(ROW('INPUT DATA'!$L$11:$L$60)-ROW('INPUT DATA'!$L$11)+1)/('INPUT DATA'!$L$11:$L$60&lt;&gt;""),ROWS($A$1:A21))),INDEX('INPUT DATA'!$Q$11:$Q$60,_xludf.AGGREGATE(15,6,(ROW('INPUT DATA'!$Q$11:$Q$60)-ROW('INPUT DATA'!$Q$11)+1)/('INPUT DATA'!$Q$11:$Q$60&lt;&gt;""),ROWS($A$1:A21)-COUNTA('INPUT DATA'!$L$11:$L$60)))),"")</f>
        <v/>
      </c>
    </row>
    <row r="22" spans="1:1" ht="12.75" customHeight="1" x14ac:dyDescent="0.15">
      <c r="A22" s="11" t="str">
        <f t="array" aca="1" ref="A22" ca="1">IFERROR(IF(ROWS($A$1:A22)&lt;=COUNTA('INPUT DATA'!$L$11:$L$60),INDEX('INPUT DATA'!$L$11:$L$60,_xludf.AGGREGATE(15,6,(ROW('INPUT DATA'!$L$11:$L$60)-ROW('INPUT DATA'!$L$11)+1)/('INPUT DATA'!$L$11:$L$60&lt;&gt;""),ROWS($A$1:A22))),INDEX('INPUT DATA'!$Q$11:$Q$60,_xludf.AGGREGATE(15,6,(ROW('INPUT DATA'!$Q$11:$Q$60)-ROW('INPUT DATA'!$Q$11)+1)/('INPUT DATA'!$Q$11:$Q$60&lt;&gt;""),ROWS($A$1:A22)-COUNTA('INPUT DATA'!$L$11:$L$60)))),"")</f>
        <v/>
      </c>
    </row>
    <row r="23" spans="1:1" ht="12.75" customHeight="1" x14ac:dyDescent="0.15">
      <c r="A23" s="11" t="str">
        <f t="array" aca="1" ref="A23" ca="1">IFERROR(IF(ROWS($A$1:A23)&lt;=COUNTA('INPUT DATA'!$L$11:$L$60),INDEX('INPUT DATA'!$L$11:$L$60,_xludf.AGGREGATE(15,6,(ROW('INPUT DATA'!$L$11:$L$60)-ROW('INPUT DATA'!$L$11)+1)/('INPUT DATA'!$L$11:$L$60&lt;&gt;""),ROWS($A$1:A23))),INDEX('INPUT DATA'!$Q$11:$Q$60,_xludf.AGGREGATE(15,6,(ROW('INPUT DATA'!$Q$11:$Q$60)-ROW('INPUT DATA'!$Q$11)+1)/('INPUT DATA'!$Q$11:$Q$60&lt;&gt;""),ROWS($A$1:A23)-COUNTA('INPUT DATA'!$L$11:$L$60)))),"")</f>
        <v/>
      </c>
    </row>
    <row r="24" spans="1:1" ht="12.75" customHeight="1" x14ac:dyDescent="0.15">
      <c r="A24" s="11" t="str">
        <f t="array" aca="1" ref="A24" ca="1">IFERROR(IF(ROWS($A$1:A24)&lt;=COUNTA('INPUT DATA'!$L$11:$L$60),INDEX('INPUT DATA'!$L$11:$L$60,_xludf.AGGREGATE(15,6,(ROW('INPUT DATA'!$L$11:$L$60)-ROW('INPUT DATA'!$L$11)+1)/('INPUT DATA'!$L$11:$L$60&lt;&gt;""),ROWS($A$1:A24))),INDEX('INPUT DATA'!$Q$11:$Q$60,_xludf.AGGREGATE(15,6,(ROW('INPUT DATA'!$Q$11:$Q$60)-ROW('INPUT DATA'!$Q$11)+1)/('INPUT DATA'!$Q$11:$Q$60&lt;&gt;""),ROWS($A$1:A24)-COUNTA('INPUT DATA'!$L$11:$L$60)))),"")</f>
        <v/>
      </c>
    </row>
    <row r="25" spans="1:1" ht="12.75" customHeight="1" x14ac:dyDescent="0.15">
      <c r="A25" s="11" t="str">
        <f t="array" aca="1" ref="A25" ca="1">IFERROR(IF(ROWS($A$1:A25)&lt;=COUNTA('INPUT DATA'!$L$11:$L$60),INDEX('INPUT DATA'!$L$11:$L$60,_xludf.AGGREGATE(15,6,(ROW('INPUT DATA'!$L$11:$L$60)-ROW('INPUT DATA'!$L$11)+1)/('INPUT DATA'!$L$11:$L$60&lt;&gt;""),ROWS($A$1:A25))),INDEX('INPUT DATA'!$Q$11:$Q$60,_xludf.AGGREGATE(15,6,(ROW('INPUT DATA'!$Q$11:$Q$60)-ROW('INPUT DATA'!$Q$11)+1)/('INPUT DATA'!$Q$11:$Q$60&lt;&gt;""),ROWS($A$1:A25)-COUNTA('INPUT DATA'!$L$11:$L$60)))),"")</f>
        <v/>
      </c>
    </row>
    <row r="26" spans="1:1" ht="12.75" customHeight="1" x14ac:dyDescent="0.15">
      <c r="A26" s="11" t="str">
        <f t="array" aca="1" ref="A26" ca="1">IFERROR(IF(ROWS($A$1:A26)&lt;=COUNTA('INPUT DATA'!$L$11:$L$60),INDEX('INPUT DATA'!$L$11:$L$60,_xludf.AGGREGATE(15,6,(ROW('INPUT DATA'!$L$11:$L$60)-ROW('INPUT DATA'!$L$11)+1)/('INPUT DATA'!$L$11:$L$60&lt;&gt;""),ROWS($A$1:A26))),INDEX('INPUT DATA'!$Q$11:$Q$60,_xludf.AGGREGATE(15,6,(ROW('INPUT DATA'!$Q$11:$Q$60)-ROW('INPUT DATA'!$Q$11)+1)/('INPUT DATA'!$Q$11:$Q$60&lt;&gt;""),ROWS($A$1:A26)-COUNTA('INPUT DATA'!$L$11:$L$60)))),"")</f>
        <v/>
      </c>
    </row>
    <row r="27" spans="1:1" ht="12.75" customHeight="1" x14ac:dyDescent="0.15">
      <c r="A27" s="11" t="str">
        <f t="array" aca="1" ref="A27" ca="1">IFERROR(IF(ROWS($A$1:A27)&lt;=COUNTA('INPUT DATA'!$L$11:$L$60),INDEX('INPUT DATA'!$L$11:$L$60,_xludf.AGGREGATE(15,6,(ROW('INPUT DATA'!$L$11:$L$60)-ROW('INPUT DATA'!$L$11)+1)/('INPUT DATA'!$L$11:$L$60&lt;&gt;""),ROWS($A$1:A27))),INDEX('INPUT DATA'!$Q$11:$Q$60,_xludf.AGGREGATE(15,6,(ROW('INPUT DATA'!$Q$11:$Q$60)-ROW('INPUT DATA'!$Q$11)+1)/('INPUT DATA'!$Q$11:$Q$60&lt;&gt;""),ROWS($A$1:A27)-COUNTA('INPUT DATA'!$L$11:$L$60)))),"")</f>
        <v/>
      </c>
    </row>
    <row r="28" spans="1:1" ht="12.75" customHeight="1" x14ac:dyDescent="0.15">
      <c r="A28" s="11" t="str">
        <f t="array" aca="1" ref="A28" ca="1">IFERROR(IF(ROWS($A$1:A28)&lt;=COUNTA('INPUT DATA'!$L$11:$L$60),INDEX('INPUT DATA'!$L$11:$L$60,_xludf.AGGREGATE(15,6,(ROW('INPUT DATA'!$L$11:$L$60)-ROW('INPUT DATA'!$L$11)+1)/('INPUT DATA'!$L$11:$L$60&lt;&gt;""),ROWS($A$1:A28))),INDEX('INPUT DATA'!$Q$11:$Q$60,_xludf.AGGREGATE(15,6,(ROW('INPUT DATA'!$Q$11:$Q$60)-ROW('INPUT DATA'!$Q$11)+1)/('INPUT DATA'!$Q$11:$Q$60&lt;&gt;""),ROWS($A$1:A28)-COUNTA('INPUT DATA'!$L$11:$L$60)))),"")</f>
        <v/>
      </c>
    </row>
    <row r="29" spans="1:1" ht="12.75" customHeight="1" x14ac:dyDescent="0.15">
      <c r="A29" s="11" t="str">
        <f t="array" aca="1" ref="A29" ca="1">IFERROR(IF(ROWS($A$1:A29)&lt;=COUNTA('INPUT DATA'!$L$11:$L$60),INDEX('INPUT DATA'!$L$11:$L$60,_xludf.AGGREGATE(15,6,(ROW('INPUT DATA'!$L$11:$L$60)-ROW('INPUT DATA'!$L$11)+1)/('INPUT DATA'!$L$11:$L$60&lt;&gt;""),ROWS($A$1:A29))),INDEX('INPUT DATA'!$Q$11:$Q$60,_xludf.AGGREGATE(15,6,(ROW('INPUT DATA'!$Q$11:$Q$60)-ROW('INPUT DATA'!$Q$11)+1)/('INPUT DATA'!$Q$11:$Q$60&lt;&gt;""),ROWS($A$1:A29)-COUNTA('INPUT DATA'!$L$11:$L$60)))),"")</f>
        <v/>
      </c>
    </row>
    <row r="30" spans="1:1" ht="12.75" customHeight="1" x14ac:dyDescent="0.15">
      <c r="A30" s="11" t="str">
        <f t="array" aca="1" ref="A30" ca="1">IFERROR(IF(ROWS($A$1:A30)&lt;=COUNTA('INPUT DATA'!$L$11:$L$60),INDEX('INPUT DATA'!$L$11:$L$60,_xludf.AGGREGATE(15,6,(ROW('INPUT DATA'!$L$11:$L$60)-ROW('INPUT DATA'!$L$11)+1)/('INPUT DATA'!$L$11:$L$60&lt;&gt;""),ROWS($A$1:A30))),INDEX('INPUT DATA'!$Q$11:$Q$60,_xludf.AGGREGATE(15,6,(ROW('INPUT DATA'!$Q$11:$Q$60)-ROW('INPUT DATA'!$Q$11)+1)/('INPUT DATA'!$Q$11:$Q$60&lt;&gt;""),ROWS($A$1:A30)-COUNTA('INPUT DATA'!$L$11:$L$60)))),"")</f>
        <v/>
      </c>
    </row>
    <row r="31" spans="1:1" ht="12.75" customHeight="1" x14ac:dyDescent="0.15">
      <c r="A31" s="11" t="str">
        <f t="array" aca="1" ref="A31" ca="1">IFERROR(IF(ROWS($A$1:A31)&lt;=COUNTA('INPUT DATA'!$L$11:$L$60),INDEX('INPUT DATA'!$L$11:$L$60,_xludf.AGGREGATE(15,6,(ROW('INPUT DATA'!$L$11:$L$60)-ROW('INPUT DATA'!$L$11)+1)/('INPUT DATA'!$L$11:$L$60&lt;&gt;""),ROWS($A$1:A31))),INDEX('INPUT DATA'!$Q$11:$Q$60,_xludf.AGGREGATE(15,6,(ROW('INPUT DATA'!$Q$11:$Q$60)-ROW('INPUT DATA'!$Q$11)+1)/('INPUT DATA'!$Q$11:$Q$60&lt;&gt;""),ROWS($A$1:A31)-COUNTA('INPUT DATA'!$L$11:$L$60)))),"")</f>
        <v/>
      </c>
    </row>
    <row r="32" spans="1:1" ht="12.75" customHeight="1" x14ac:dyDescent="0.15">
      <c r="A32" s="11" t="str">
        <f t="array" aca="1" ref="A32" ca="1">IFERROR(IF(ROWS($A$1:A32)&lt;=COUNTA('INPUT DATA'!$L$11:$L$60),INDEX('INPUT DATA'!$L$11:$L$60,_xludf.AGGREGATE(15,6,(ROW('INPUT DATA'!$L$11:$L$60)-ROW('INPUT DATA'!$L$11)+1)/('INPUT DATA'!$L$11:$L$60&lt;&gt;""),ROWS($A$1:A32))),INDEX('INPUT DATA'!$Q$11:$Q$60,_xludf.AGGREGATE(15,6,(ROW('INPUT DATA'!$Q$11:$Q$60)-ROW('INPUT DATA'!$Q$11)+1)/('INPUT DATA'!$Q$11:$Q$60&lt;&gt;""),ROWS($A$1:A32)-COUNTA('INPUT DATA'!$L$11:$L$60)))),"")</f>
        <v/>
      </c>
    </row>
    <row r="33" spans="1:1" ht="12.75" customHeight="1" x14ac:dyDescent="0.15">
      <c r="A33" s="11" t="str">
        <f t="array" aca="1" ref="A33" ca="1">IFERROR(IF(ROWS($A$1:A33)&lt;=COUNTA('INPUT DATA'!$L$11:$L$60),INDEX('INPUT DATA'!$L$11:$L$60,_xludf.AGGREGATE(15,6,(ROW('INPUT DATA'!$L$11:$L$60)-ROW('INPUT DATA'!$L$11)+1)/('INPUT DATA'!$L$11:$L$60&lt;&gt;""),ROWS($A$1:A33))),INDEX('INPUT DATA'!$Q$11:$Q$60,_xludf.AGGREGATE(15,6,(ROW('INPUT DATA'!$Q$11:$Q$60)-ROW('INPUT DATA'!$Q$11)+1)/('INPUT DATA'!$Q$11:$Q$60&lt;&gt;""),ROWS($A$1:A33)-COUNTA('INPUT DATA'!$L$11:$L$60)))),"")</f>
        <v/>
      </c>
    </row>
    <row r="34" spans="1:1" ht="12.75" customHeight="1" x14ac:dyDescent="0.15">
      <c r="A34" s="11" t="str">
        <f t="array" aca="1" ref="A34" ca="1">IFERROR(IF(ROWS($A$1:A34)&lt;=COUNTA('INPUT DATA'!$L$11:$L$60),INDEX('INPUT DATA'!$L$11:$L$60,_xludf.AGGREGATE(15,6,(ROW('INPUT DATA'!$L$11:$L$60)-ROW('INPUT DATA'!$L$11)+1)/('INPUT DATA'!$L$11:$L$60&lt;&gt;""),ROWS($A$1:A34))),INDEX('INPUT DATA'!$Q$11:$Q$60,_xludf.AGGREGATE(15,6,(ROW('INPUT DATA'!$Q$11:$Q$60)-ROW('INPUT DATA'!$Q$11)+1)/('INPUT DATA'!$Q$11:$Q$60&lt;&gt;""),ROWS($A$1:A34)-COUNTA('INPUT DATA'!$L$11:$L$60)))),"")</f>
        <v/>
      </c>
    </row>
    <row r="35" spans="1:1" ht="12.75" customHeight="1" x14ac:dyDescent="0.15">
      <c r="A35" s="11" t="str">
        <f t="array" aca="1" ref="A35" ca="1">IFERROR(IF(ROWS($A$1:A35)&lt;=COUNTA('INPUT DATA'!$L$11:$L$60),INDEX('INPUT DATA'!$L$11:$L$60,_xludf.AGGREGATE(15,6,(ROW('INPUT DATA'!$L$11:$L$60)-ROW('INPUT DATA'!$L$11)+1)/('INPUT DATA'!$L$11:$L$60&lt;&gt;""),ROWS($A$1:A35))),INDEX('INPUT DATA'!$Q$11:$Q$60,_xludf.AGGREGATE(15,6,(ROW('INPUT DATA'!$Q$11:$Q$60)-ROW('INPUT DATA'!$Q$11)+1)/('INPUT DATA'!$Q$11:$Q$60&lt;&gt;""),ROWS($A$1:A35)-COUNTA('INPUT DATA'!$L$11:$L$60)))),"")</f>
        <v/>
      </c>
    </row>
    <row r="36" spans="1:1" ht="12.75" customHeight="1" x14ac:dyDescent="0.15">
      <c r="A36" s="11" t="str">
        <f t="array" aca="1" ref="A36" ca="1">IFERROR(IF(ROWS($A$1:A36)&lt;=COUNTA('INPUT DATA'!$L$11:$L$60),INDEX('INPUT DATA'!$L$11:$L$60,_xludf.AGGREGATE(15,6,(ROW('INPUT DATA'!$L$11:$L$60)-ROW('INPUT DATA'!$L$11)+1)/('INPUT DATA'!$L$11:$L$60&lt;&gt;""),ROWS($A$1:A36))),INDEX('INPUT DATA'!$Q$11:$Q$60,_xludf.AGGREGATE(15,6,(ROW('INPUT DATA'!$Q$11:$Q$60)-ROW('INPUT DATA'!$Q$11)+1)/('INPUT DATA'!$Q$11:$Q$60&lt;&gt;""),ROWS($A$1:A36)-COUNTA('INPUT DATA'!$L$11:$L$60)))),"")</f>
        <v/>
      </c>
    </row>
    <row r="37" spans="1:1" ht="12.75" customHeight="1" x14ac:dyDescent="0.15">
      <c r="A37" s="11" t="str">
        <f t="array" aca="1" ref="A37" ca="1">IFERROR(IF(ROWS($A$1:A37)&lt;=COUNTA('INPUT DATA'!$L$11:$L$60),INDEX('INPUT DATA'!$L$11:$L$60,_xludf.AGGREGATE(15,6,(ROW('INPUT DATA'!$L$11:$L$60)-ROW('INPUT DATA'!$L$11)+1)/('INPUT DATA'!$L$11:$L$60&lt;&gt;""),ROWS($A$1:A37))),INDEX('INPUT DATA'!$Q$11:$Q$60,_xludf.AGGREGATE(15,6,(ROW('INPUT DATA'!$Q$11:$Q$60)-ROW('INPUT DATA'!$Q$11)+1)/('INPUT DATA'!$Q$11:$Q$60&lt;&gt;""),ROWS($A$1:A37)-COUNTA('INPUT DATA'!$L$11:$L$60)))),"")</f>
        <v/>
      </c>
    </row>
    <row r="38" spans="1:1" ht="12.75" customHeight="1" x14ac:dyDescent="0.15">
      <c r="A38" s="11" t="str">
        <f t="array" aca="1" ref="A38" ca="1">IFERROR(IF(ROWS($A$1:A38)&lt;=COUNTA('INPUT DATA'!$L$11:$L$60),INDEX('INPUT DATA'!$L$11:$L$60,_xludf.AGGREGATE(15,6,(ROW('INPUT DATA'!$L$11:$L$60)-ROW('INPUT DATA'!$L$11)+1)/('INPUT DATA'!$L$11:$L$60&lt;&gt;""),ROWS($A$1:A38))),INDEX('INPUT DATA'!$Q$11:$Q$60,_xludf.AGGREGATE(15,6,(ROW('INPUT DATA'!$Q$11:$Q$60)-ROW('INPUT DATA'!$Q$11)+1)/('INPUT DATA'!$Q$11:$Q$60&lt;&gt;""),ROWS($A$1:A38)-COUNTA('INPUT DATA'!$L$11:$L$60)))),"")</f>
        <v/>
      </c>
    </row>
    <row r="39" spans="1:1" ht="12.75" customHeight="1" x14ac:dyDescent="0.15">
      <c r="A39" s="11" t="str">
        <f t="array" aca="1" ref="A39" ca="1">IFERROR(IF(ROWS($A$1:A39)&lt;=COUNTA('INPUT DATA'!$L$11:$L$60),INDEX('INPUT DATA'!$L$11:$L$60,_xludf.AGGREGATE(15,6,(ROW('INPUT DATA'!$L$11:$L$60)-ROW('INPUT DATA'!$L$11)+1)/('INPUT DATA'!$L$11:$L$60&lt;&gt;""),ROWS($A$1:A39))),INDEX('INPUT DATA'!$Q$11:$Q$60,_xludf.AGGREGATE(15,6,(ROW('INPUT DATA'!$Q$11:$Q$60)-ROW('INPUT DATA'!$Q$11)+1)/('INPUT DATA'!$Q$11:$Q$60&lt;&gt;""),ROWS($A$1:A39)-COUNTA('INPUT DATA'!$L$11:$L$60)))),"")</f>
        <v/>
      </c>
    </row>
    <row r="40" spans="1:1" ht="12.75" customHeight="1" x14ac:dyDescent="0.15">
      <c r="A40" s="11" t="str">
        <f t="array" aca="1" ref="A40" ca="1">IFERROR(IF(ROWS($A$1:A40)&lt;=COUNTA('INPUT DATA'!$L$11:$L$60),INDEX('INPUT DATA'!$L$11:$L$60,_xludf.AGGREGATE(15,6,(ROW('INPUT DATA'!$L$11:$L$60)-ROW('INPUT DATA'!$L$11)+1)/('INPUT DATA'!$L$11:$L$60&lt;&gt;""),ROWS($A$1:A40))),INDEX('INPUT DATA'!$Q$11:$Q$60,_xludf.AGGREGATE(15,6,(ROW('INPUT DATA'!$Q$11:$Q$60)-ROW('INPUT DATA'!$Q$11)+1)/('INPUT DATA'!$Q$11:$Q$60&lt;&gt;""),ROWS($A$1:A40)-COUNTA('INPUT DATA'!$L$11:$L$60)))),"")</f>
        <v/>
      </c>
    </row>
    <row r="41" spans="1:1" ht="12.75" customHeight="1" x14ac:dyDescent="0.15">
      <c r="A41" s="11" t="str">
        <f t="array" aca="1" ref="A41" ca="1">IFERROR(IF(ROWS($A$1:A41)&lt;=COUNTA('INPUT DATA'!$L$11:$L$60),INDEX('INPUT DATA'!$L$11:$L$60,_xludf.AGGREGATE(15,6,(ROW('INPUT DATA'!$L$11:$L$60)-ROW('INPUT DATA'!$L$11)+1)/('INPUT DATA'!$L$11:$L$60&lt;&gt;""),ROWS($A$1:A41))),INDEX('INPUT DATA'!$Q$11:$Q$60,_xludf.AGGREGATE(15,6,(ROW('INPUT DATA'!$Q$11:$Q$60)-ROW('INPUT DATA'!$Q$11)+1)/('INPUT DATA'!$Q$11:$Q$60&lt;&gt;""),ROWS($A$1:A41)-COUNTA('INPUT DATA'!$L$11:$L$60)))),"")</f>
        <v/>
      </c>
    </row>
    <row r="42" spans="1:1" ht="12.75" customHeight="1" x14ac:dyDescent="0.15">
      <c r="A42" s="11" t="str">
        <f t="array" aca="1" ref="A42" ca="1">IFERROR(IF(ROWS($A$1:A42)&lt;=COUNTA('INPUT DATA'!$L$11:$L$60),INDEX('INPUT DATA'!$L$11:$L$60,_xludf.AGGREGATE(15,6,(ROW('INPUT DATA'!$L$11:$L$60)-ROW('INPUT DATA'!$L$11)+1)/('INPUT DATA'!$L$11:$L$60&lt;&gt;""),ROWS($A$1:A42))),INDEX('INPUT DATA'!$Q$11:$Q$60,_xludf.AGGREGATE(15,6,(ROW('INPUT DATA'!$Q$11:$Q$60)-ROW('INPUT DATA'!$Q$11)+1)/('INPUT DATA'!$Q$11:$Q$60&lt;&gt;""),ROWS($A$1:A42)-COUNTA('INPUT DATA'!$L$11:$L$60)))),"")</f>
        <v/>
      </c>
    </row>
    <row r="43" spans="1:1" ht="12.75" customHeight="1" x14ac:dyDescent="0.15">
      <c r="A43" s="11" t="str">
        <f t="array" aca="1" ref="A43" ca="1">IFERROR(IF(ROWS($A$1:A43)&lt;=COUNTA('INPUT DATA'!$L$11:$L$60),INDEX('INPUT DATA'!$L$11:$L$60,_xludf.AGGREGATE(15,6,(ROW('INPUT DATA'!$L$11:$L$60)-ROW('INPUT DATA'!$L$11)+1)/('INPUT DATA'!$L$11:$L$60&lt;&gt;""),ROWS($A$1:A43))),INDEX('INPUT DATA'!$Q$11:$Q$60,_xludf.AGGREGATE(15,6,(ROW('INPUT DATA'!$Q$11:$Q$60)-ROW('INPUT DATA'!$Q$11)+1)/('INPUT DATA'!$Q$11:$Q$60&lt;&gt;""),ROWS($A$1:A43)-COUNTA('INPUT DATA'!$L$11:$L$60)))),"")</f>
        <v/>
      </c>
    </row>
    <row r="44" spans="1:1" ht="12.75" customHeight="1" x14ac:dyDescent="0.15">
      <c r="A44" s="11" t="str">
        <f t="array" aca="1" ref="A44" ca="1">IFERROR(IF(ROWS($A$1:A44)&lt;=COUNTA('INPUT DATA'!$L$11:$L$60),INDEX('INPUT DATA'!$L$11:$L$60,_xludf.AGGREGATE(15,6,(ROW('INPUT DATA'!$L$11:$L$60)-ROW('INPUT DATA'!$L$11)+1)/('INPUT DATA'!$L$11:$L$60&lt;&gt;""),ROWS($A$1:A44))),INDEX('INPUT DATA'!$Q$11:$Q$60,_xludf.AGGREGATE(15,6,(ROW('INPUT DATA'!$Q$11:$Q$60)-ROW('INPUT DATA'!$Q$11)+1)/('INPUT DATA'!$Q$11:$Q$60&lt;&gt;""),ROWS($A$1:A44)-COUNTA('INPUT DATA'!$L$11:$L$60)))),"")</f>
        <v/>
      </c>
    </row>
    <row r="45" spans="1:1" ht="12.75" customHeight="1" x14ac:dyDescent="0.15">
      <c r="A45" s="11" t="str">
        <f t="array" aca="1" ref="A45" ca="1">IFERROR(IF(ROWS($A$1:A45)&lt;=COUNTA('INPUT DATA'!$L$11:$L$60),INDEX('INPUT DATA'!$L$11:$L$60,_xludf.AGGREGATE(15,6,(ROW('INPUT DATA'!$L$11:$L$60)-ROW('INPUT DATA'!$L$11)+1)/('INPUT DATA'!$L$11:$L$60&lt;&gt;""),ROWS($A$1:A45))),INDEX('INPUT DATA'!$Q$11:$Q$60,_xludf.AGGREGATE(15,6,(ROW('INPUT DATA'!$Q$11:$Q$60)-ROW('INPUT DATA'!$Q$11)+1)/('INPUT DATA'!$Q$11:$Q$60&lt;&gt;""),ROWS($A$1:A45)-COUNTA('INPUT DATA'!$L$11:$L$60)))),"")</f>
        <v/>
      </c>
    </row>
    <row r="46" spans="1:1" ht="12.75" customHeight="1" x14ac:dyDescent="0.15">
      <c r="A46" s="11" t="str">
        <f t="array" aca="1" ref="A46" ca="1">IFERROR(IF(ROWS($A$1:A46)&lt;=COUNTA('INPUT DATA'!$L$11:$L$60),INDEX('INPUT DATA'!$L$11:$L$60,_xludf.AGGREGATE(15,6,(ROW('INPUT DATA'!$L$11:$L$60)-ROW('INPUT DATA'!$L$11)+1)/('INPUT DATA'!$L$11:$L$60&lt;&gt;""),ROWS($A$1:A46))),INDEX('INPUT DATA'!$Q$11:$Q$60,_xludf.AGGREGATE(15,6,(ROW('INPUT DATA'!$Q$11:$Q$60)-ROW('INPUT DATA'!$Q$11)+1)/('INPUT DATA'!$Q$11:$Q$60&lt;&gt;""),ROWS($A$1:A46)-COUNTA('INPUT DATA'!$L$11:$L$60)))),"")</f>
        <v/>
      </c>
    </row>
    <row r="47" spans="1:1" ht="12.75" customHeight="1" x14ac:dyDescent="0.15">
      <c r="A47" s="11" t="str">
        <f t="array" aca="1" ref="A47" ca="1">IFERROR(IF(ROWS($A$1:A47)&lt;=COUNTA('INPUT DATA'!$L$11:$L$60),INDEX('INPUT DATA'!$L$11:$L$60,_xludf.AGGREGATE(15,6,(ROW('INPUT DATA'!$L$11:$L$60)-ROW('INPUT DATA'!$L$11)+1)/('INPUT DATA'!$L$11:$L$60&lt;&gt;""),ROWS($A$1:A47))),INDEX('INPUT DATA'!$Q$11:$Q$60,_xludf.AGGREGATE(15,6,(ROW('INPUT DATA'!$Q$11:$Q$60)-ROW('INPUT DATA'!$Q$11)+1)/('INPUT DATA'!$Q$11:$Q$60&lt;&gt;""),ROWS($A$1:A47)-COUNTA('INPUT DATA'!$L$11:$L$60)))),"")</f>
        <v/>
      </c>
    </row>
    <row r="48" spans="1:1" ht="12.75" customHeight="1" x14ac:dyDescent="0.15">
      <c r="A48" s="11" t="str">
        <f t="array" aca="1" ref="A48" ca="1">IFERROR(IF(ROWS($A$1:A48)&lt;=COUNTA('INPUT DATA'!$L$11:$L$60),INDEX('INPUT DATA'!$L$11:$L$60,_xludf.AGGREGATE(15,6,(ROW('INPUT DATA'!$L$11:$L$60)-ROW('INPUT DATA'!$L$11)+1)/('INPUT DATA'!$L$11:$L$60&lt;&gt;""),ROWS($A$1:A48))),INDEX('INPUT DATA'!$Q$11:$Q$60,_xludf.AGGREGATE(15,6,(ROW('INPUT DATA'!$Q$11:$Q$60)-ROW('INPUT DATA'!$Q$11)+1)/('INPUT DATA'!$Q$11:$Q$60&lt;&gt;""),ROWS($A$1:A48)-COUNTA('INPUT DATA'!$L$11:$L$60)))),"")</f>
        <v/>
      </c>
    </row>
    <row r="49" spans="1:1" ht="12.75" customHeight="1" x14ac:dyDescent="0.15">
      <c r="A49" s="11" t="str">
        <f t="array" aca="1" ref="A49" ca="1">IFERROR(IF(ROWS($A$1:A49)&lt;=COUNTA('INPUT DATA'!$L$11:$L$60),INDEX('INPUT DATA'!$L$11:$L$60,_xludf.AGGREGATE(15,6,(ROW('INPUT DATA'!$L$11:$L$60)-ROW('INPUT DATA'!$L$11)+1)/('INPUT DATA'!$L$11:$L$60&lt;&gt;""),ROWS($A$1:A49))),INDEX('INPUT DATA'!$Q$11:$Q$60,_xludf.AGGREGATE(15,6,(ROW('INPUT DATA'!$Q$11:$Q$60)-ROW('INPUT DATA'!$Q$11)+1)/('INPUT DATA'!$Q$11:$Q$60&lt;&gt;""),ROWS($A$1:A49)-COUNTA('INPUT DATA'!$L$11:$L$60)))),"")</f>
        <v/>
      </c>
    </row>
    <row r="50" spans="1:1" ht="12.75" customHeight="1" x14ac:dyDescent="0.15">
      <c r="A50" s="11" t="str">
        <f t="array" aca="1" ref="A50" ca="1">IFERROR(IF(ROWS($A$1:A50)&lt;=COUNTA('INPUT DATA'!$L$11:$L$60),INDEX('INPUT DATA'!$L$11:$L$60,_xludf.AGGREGATE(15,6,(ROW('INPUT DATA'!$L$11:$L$60)-ROW('INPUT DATA'!$L$11)+1)/('INPUT DATA'!$L$11:$L$60&lt;&gt;""),ROWS($A$1:A50))),INDEX('INPUT DATA'!$Q$11:$Q$60,_xludf.AGGREGATE(15,6,(ROW('INPUT DATA'!$Q$11:$Q$60)-ROW('INPUT DATA'!$Q$11)+1)/('INPUT DATA'!$Q$11:$Q$60&lt;&gt;""),ROWS($A$1:A50)-COUNTA('INPUT DATA'!$L$11:$L$60)))),"")</f>
        <v/>
      </c>
    </row>
    <row r="51" spans="1:1" ht="12.75" customHeight="1" x14ac:dyDescent="0.15">
      <c r="A51" s="11" t="str">
        <f t="array" aca="1" ref="A51" ca="1">IFERROR(IF(ROWS($A$1:A51)&lt;=COUNTA('INPUT DATA'!$L$11:$L$60),INDEX('INPUT DATA'!$L$11:$L$60,_xludf.AGGREGATE(15,6,(ROW('INPUT DATA'!$L$11:$L$60)-ROW('INPUT DATA'!$L$11)+1)/('INPUT DATA'!$L$11:$L$60&lt;&gt;""),ROWS($A$1:A51))),INDEX('INPUT DATA'!$Q$11:$Q$60,_xludf.AGGREGATE(15,6,(ROW('INPUT DATA'!$Q$11:$Q$60)-ROW('INPUT DATA'!$Q$11)+1)/('INPUT DATA'!$Q$11:$Q$60&lt;&gt;""),ROWS($A$1:A51)-COUNTA('INPUT DATA'!$L$11:$L$60)))),"")</f>
        <v/>
      </c>
    </row>
    <row r="52" spans="1:1" ht="12.75" customHeight="1" x14ac:dyDescent="0.15">
      <c r="A52" s="11" t="str">
        <f t="array" aca="1" ref="A52" ca="1">IFERROR(IF(ROWS($A$1:A52)&lt;=COUNTA('INPUT DATA'!$L$11:$L$60),INDEX('INPUT DATA'!$L$11:$L$60,_xludf.AGGREGATE(15,6,(ROW('INPUT DATA'!$L$11:$L$60)-ROW('INPUT DATA'!$L$11)+1)/('INPUT DATA'!$L$11:$L$60&lt;&gt;""),ROWS($A$1:A52))),INDEX('INPUT DATA'!$Q$11:$Q$60,_xludf.AGGREGATE(15,6,(ROW('INPUT DATA'!$Q$11:$Q$60)-ROW('INPUT DATA'!$Q$11)+1)/('INPUT DATA'!$Q$11:$Q$60&lt;&gt;""),ROWS($A$1:A52)-COUNTA('INPUT DATA'!$L$11:$L$60)))),"")</f>
        <v/>
      </c>
    </row>
    <row r="53" spans="1:1" ht="12.75" customHeight="1" x14ac:dyDescent="0.15">
      <c r="A53" s="11" t="str">
        <f t="array" aca="1" ref="A53" ca="1">IFERROR(IF(ROWS($A$1:A53)&lt;=COUNTA('INPUT DATA'!$L$11:$L$60),INDEX('INPUT DATA'!$L$11:$L$60,_xludf.AGGREGATE(15,6,(ROW('INPUT DATA'!$L$11:$L$60)-ROW('INPUT DATA'!$L$11)+1)/('INPUT DATA'!$L$11:$L$60&lt;&gt;""),ROWS($A$1:A53))),INDEX('INPUT DATA'!$Q$11:$Q$60,_xludf.AGGREGATE(15,6,(ROW('INPUT DATA'!$Q$11:$Q$60)-ROW('INPUT DATA'!$Q$11)+1)/('INPUT DATA'!$Q$11:$Q$60&lt;&gt;""),ROWS($A$1:A53)-COUNTA('INPUT DATA'!$L$11:$L$60)))),"")</f>
        <v/>
      </c>
    </row>
    <row r="54" spans="1:1" ht="12.75" customHeight="1" x14ac:dyDescent="0.15">
      <c r="A54" s="11" t="str">
        <f t="array" aca="1" ref="A54" ca="1">IFERROR(IF(ROWS($A$1:A54)&lt;=COUNTA('INPUT DATA'!$L$11:$L$60),INDEX('INPUT DATA'!$L$11:$L$60,_xludf.AGGREGATE(15,6,(ROW('INPUT DATA'!$L$11:$L$60)-ROW('INPUT DATA'!$L$11)+1)/('INPUT DATA'!$L$11:$L$60&lt;&gt;""),ROWS($A$1:A54))),INDEX('INPUT DATA'!$Q$11:$Q$60,_xludf.AGGREGATE(15,6,(ROW('INPUT DATA'!$Q$11:$Q$60)-ROW('INPUT DATA'!$Q$11)+1)/('INPUT DATA'!$Q$11:$Q$60&lt;&gt;""),ROWS($A$1:A54)-COUNTA('INPUT DATA'!$L$11:$L$60)))),"")</f>
        <v/>
      </c>
    </row>
    <row r="55" spans="1:1" ht="12.75" customHeight="1" x14ac:dyDescent="0.15">
      <c r="A55" s="11" t="str">
        <f t="array" aca="1" ref="A55" ca="1">IFERROR(IF(ROWS($A$1:A55)&lt;=COUNTA('INPUT DATA'!$L$11:$L$60),INDEX('INPUT DATA'!$L$11:$L$60,_xludf.AGGREGATE(15,6,(ROW('INPUT DATA'!$L$11:$L$60)-ROW('INPUT DATA'!$L$11)+1)/('INPUT DATA'!$L$11:$L$60&lt;&gt;""),ROWS($A$1:A55))),INDEX('INPUT DATA'!$Q$11:$Q$60,_xludf.AGGREGATE(15,6,(ROW('INPUT DATA'!$Q$11:$Q$60)-ROW('INPUT DATA'!$Q$11)+1)/('INPUT DATA'!$Q$11:$Q$60&lt;&gt;""),ROWS($A$1:A55)-COUNTA('INPUT DATA'!$L$11:$L$60)))),"")</f>
        <v/>
      </c>
    </row>
    <row r="56" spans="1:1" ht="12.75" customHeight="1" x14ac:dyDescent="0.15">
      <c r="A56" s="11" t="str">
        <f t="array" aca="1" ref="A56" ca="1">IFERROR(IF(ROWS($A$1:A56)&lt;=COUNTA('INPUT DATA'!$L$11:$L$60),INDEX('INPUT DATA'!$L$11:$L$60,_xludf.AGGREGATE(15,6,(ROW('INPUT DATA'!$L$11:$L$60)-ROW('INPUT DATA'!$L$11)+1)/('INPUT DATA'!$L$11:$L$60&lt;&gt;""),ROWS($A$1:A56))),INDEX('INPUT DATA'!$Q$11:$Q$60,_xludf.AGGREGATE(15,6,(ROW('INPUT DATA'!$Q$11:$Q$60)-ROW('INPUT DATA'!$Q$11)+1)/('INPUT DATA'!$Q$11:$Q$60&lt;&gt;""),ROWS($A$1:A56)-COUNTA('INPUT DATA'!$L$11:$L$60)))),"")</f>
        <v/>
      </c>
    </row>
    <row r="57" spans="1:1" ht="12.75" customHeight="1" x14ac:dyDescent="0.15">
      <c r="A57" s="11" t="str">
        <f t="array" aca="1" ref="A57" ca="1">IFERROR(IF(ROWS($A$1:A57)&lt;=COUNTA('INPUT DATA'!$L$11:$L$60),INDEX('INPUT DATA'!$L$11:$L$60,_xludf.AGGREGATE(15,6,(ROW('INPUT DATA'!$L$11:$L$60)-ROW('INPUT DATA'!$L$11)+1)/('INPUT DATA'!$L$11:$L$60&lt;&gt;""),ROWS($A$1:A57))),INDEX('INPUT DATA'!$Q$11:$Q$60,_xludf.AGGREGATE(15,6,(ROW('INPUT DATA'!$Q$11:$Q$60)-ROW('INPUT DATA'!$Q$11)+1)/('INPUT DATA'!$Q$11:$Q$60&lt;&gt;""),ROWS($A$1:A57)-COUNTA('INPUT DATA'!$L$11:$L$60)))),"")</f>
        <v/>
      </c>
    </row>
    <row r="58" spans="1:1" ht="12.75" customHeight="1" x14ac:dyDescent="0.15">
      <c r="A58" s="11" t="str">
        <f t="array" aca="1" ref="A58" ca="1">IFERROR(IF(ROWS($A$1:A58)&lt;=COUNTA('INPUT DATA'!$L$11:$L$60),INDEX('INPUT DATA'!$L$11:$L$60,_xludf.AGGREGATE(15,6,(ROW('INPUT DATA'!$L$11:$L$60)-ROW('INPUT DATA'!$L$11)+1)/('INPUT DATA'!$L$11:$L$60&lt;&gt;""),ROWS($A$1:A58))),INDEX('INPUT DATA'!$Q$11:$Q$60,_xludf.AGGREGATE(15,6,(ROW('INPUT DATA'!$Q$11:$Q$60)-ROW('INPUT DATA'!$Q$11)+1)/('INPUT DATA'!$Q$11:$Q$60&lt;&gt;""),ROWS($A$1:A58)-COUNTA('INPUT DATA'!$L$11:$L$60)))),"")</f>
        <v/>
      </c>
    </row>
    <row r="59" spans="1:1" ht="12.75" customHeight="1" x14ac:dyDescent="0.15">
      <c r="A59" s="11" t="str">
        <f t="array" aca="1" ref="A59" ca="1">IFERROR(IF(ROWS($A$1:A59)&lt;=COUNTA('INPUT DATA'!$L$11:$L$60),INDEX('INPUT DATA'!$L$11:$L$60,_xludf.AGGREGATE(15,6,(ROW('INPUT DATA'!$L$11:$L$60)-ROW('INPUT DATA'!$L$11)+1)/('INPUT DATA'!$L$11:$L$60&lt;&gt;""),ROWS($A$1:A59))),INDEX('INPUT DATA'!$Q$11:$Q$60,_xludf.AGGREGATE(15,6,(ROW('INPUT DATA'!$Q$11:$Q$60)-ROW('INPUT DATA'!$Q$11)+1)/('INPUT DATA'!$Q$11:$Q$60&lt;&gt;""),ROWS($A$1:A59)-COUNTA('INPUT DATA'!$L$11:$L$60)))),"")</f>
        <v/>
      </c>
    </row>
    <row r="60" spans="1:1" ht="12.75" customHeight="1" x14ac:dyDescent="0.15">
      <c r="A60" s="11" t="str">
        <f t="array" aca="1" ref="A60" ca="1">IFERROR(IF(ROWS($A$1:A60)&lt;=COUNTA('INPUT DATA'!$L$11:$L$60),INDEX('INPUT DATA'!$L$11:$L$60,_xludf.AGGREGATE(15,6,(ROW('INPUT DATA'!$L$11:$L$60)-ROW('INPUT DATA'!$L$11)+1)/('INPUT DATA'!$L$11:$L$60&lt;&gt;""),ROWS($A$1:A60))),INDEX('INPUT DATA'!$Q$11:$Q$60,_xludf.AGGREGATE(15,6,(ROW('INPUT DATA'!$Q$11:$Q$60)-ROW('INPUT DATA'!$Q$11)+1)/('INPUT DATA'!$Q$11:$Q$60&lt;&gt;""),ROWS($A$1:A60)-COUNTA('INPUT DATA'!$L$11:$L$60)))),"")</f>
        <v/>
      </c>
    </row>
    <row r="61" spans="1:1" ht="12.75" customHeight="1" x14ac:dyDescent="0.15">
      <c r="A61" s="11" t="str">
        <f t="array" aca="1" ref="A61" ca="1">IFERROR(IF(ROWS($A$1:A61)&lt;=COUNTA('INPUT DATA'!$L$11:$L$60),INDEX('INPUT DATA'!$L$11:$L$60,_xludf.AGGREGATE(15,6,(ROW('INPUT DATA'!$L$11:$L$60)-ROW('INPUT DATA'!$L$11)+1)/('INPUT DATA'!$L$11:$L$60&lt;&gt;""),ROWS($A$1:A61))),INDEX('INPUT DATA'!$Q$11:$Q$60,_xludf.AGGREGATE(15,6,(ROW('INPUT DATA'!$Q$11:$Q$60)-ROW('INPUT DATA'!$Q$11)+1)/('INPUT DATA'!$Q$11:$Q$60&lt;&gt;""),ROWS($A$1:A61)-COUNTA('INPUT DATA'!$L$11:$L$60)))),"")</f>
        <v/>
      </c>
    </row>
    <row r="62" spans="1:1" ht="12.75" customHeight="1" x14ac:dyDescent="0.15">
      <c r="A62" s="11" t="str">
        <f t="array" aca="1" ref="A62" ca="1">IFERROR(IF(ROWS($A$1:A62)&lt;=COUNTA('INPUT DATA'!$L$11:$L$60),INDEX('INPUT DATA'!$L$11:$L$60,_xludf.AGGREGATE(15,6,(ROW('INPUT DATA'!$L$11:$L$60)-ROW('INPUT DATA'!$L$11)+1)/('INPUT DATA'!$L$11:$L$60&lt;&gt;""),ROWS($A$1:A62))),INDEX('INPUT DATA'!$Q$11:$Q$60,_xludf.AGGREGATE(15,6,(ROW('INPUT DATA'!$Q$11:$Q$60)-ROW('INPUT DATA'!$Q$11)+1)/('INPUT DATA'!$Q$11:$Q$60&lt;&gt;""),ROWS($A$1:A62)-COUNTA('INPUT DATA'!$L$11:$L$60)))),"")</f>
        <v/>
      </c>
    </row>
    <row r="63" spans="1:1" ht="12.75" customHeight="1" x14ac:dyDescent="0.15">
      <c r="A63" s="11" t="str">
        <f t="array" aca="1" ref="A63" ca="1">IFERROR(IF(ROWS($A$1:A63)&lt;=COUNTA('INPUT DATA'!$L$11:$L$60),INDEX('INPUT DATA'!$L$11:$L$60,_xludf.AGGREGATE(15,6,(ROW('INPUT DATA'!$L$11:$L$60)-ROW('INPUT DATA'!$L$11)+1)/('INPUT DATA'!$L$11:$L$60&lt;&gt;""),ROWS($A$1:A63))),INDEX('INPUT DATA'!$Q$11:$Q$60,_xludf.AGGREGATE(15,6,(ROW('INPUT DATA'!$Q$11:$Q$60)-ROW('INPUT DATA'!$Q$11)+1)/('INPUT DATA'!$Q$11:$Q$60&lt;&gt;""),ROWS($A$1:A63)-COUNTA('INPUT DATA'!$L$11:$L$60)))),"")</f>
        <v/>
      </c>
    </row>
    <row r="64" spans="1:1" ht="12.75" customHeight="1" x14ac:dyDescent="0.15">
      <c r="A64" s="11" t="str">
        <f t="array" aca="1" ref="A64" ca="1">IFERROR(IF(ROWS($A$1:A64)&lt;=COUNTA('INPUT DATA'!$L$11:$L$60),INDEX('INPUT DATA'!$L$11:$L$60,_xludf.AGGREGATE(15,6,(ROW('INPUT DATA'!$L$11:$L$60)-ROW('INPUT DATA'!$L$11)+1)/('INPUT DATA'!$L$11:$L$60&lt;&gt;""),ROWS($A$1:A64))),INDEX('INPUT DATA'!$Q$11:$Q$60,_xludf.AGGREGATE(15,6,(ROW('INPUT DATA'!$Q$11:$Q$60)-ROW('INPUT DATA'!$Q$11)+1)/('INPUT DATA'!$Q$11:$Q$60&lt;&gt;""),ROWS($A$1:A64)-COUNTA('INPUT DATA'!$L$11:$L$60)))),"")</f>
        <v/>
      </c>
    </row>
    <row r="65" spans="1:1" ht="12.75" customHeight="1" x14ac:dyDescent="0.15">
      <c r="A65" s="11" t="str">
        <f t="array" aca="1" ref="A65" ca="1">IFERROR(IF(ROWS($A$1:A65)&lt;=COUNTA('INPUT DATA'!$L$11:$L$60),INDEX('INPUT DATA'!$L$11:$L$60,_xludf.AGGREGATE(15,6,(ROW('INPUT DATA'!$L$11:$L$60)-ROW('INPUT DATA'!$L$11)+1)/('INPUT DATA'!$L$11:$L$60&lt;&gt;""),ROWS($A$1:A65))),INDEX('INPUT DATA'!$Q$11:$Q$60,_xludf.AGGREGATE(15,6,(ROW('INPUT DATA'!$Q$11:$Q$60)-ROW('INPUT DATA'!$Q$11)+1)/('INPUT DATA'!$Q$11:$Q$60&lt;&gt;""),ROWS($A$1:A65)-COUNTA('INPUT DATA'!$L$11:$L$60)))),"")</f>
        <v/>
      </c>
    </row>
    <row r="66" spans="1:1" ht="12.75" customHeight="1" x14ac:dyDescent="0.15">
      <c r="A66" s="11" t="str">
        <f t="array" aca="1" ref="A66" ca="1">IFERROR(IF(ROWS($A$1:A66)&lt;=COUNTA('INPUT DATA'!$L$11:$L$60),INDEX('INPUT DATA'!$L$11:$L$60,_xludf.AGGREGATE(15,6,(ROW('INPUT DATA'!$L$11:$L$60)-ROW('INPUT DATA'!$L$11)+1)/('INPUT DATA'!$L$11:$L$60&lt;&gt;""),ROWS($A$1:A66))),INDEX('INPUT DATA'!$Q$11:$Q$60,_xludf.AGGREGATE(15,6,(ROW('INPUT DATA'!$Q$11:$Q$60)-ROW('INPUT DATA'!$Q$11)+1)/('INPUT DATA'!$Q$11:$Q$60&lt;&gt;""),ROWS($A$1:A66)-COUNTA('INPUT DATA'!$L$11:$L$60)))),"")</f>
        <v/>
      </c>
    </row>
    <row r="67" spans="1:1" ht="12.75" customHeight="1" x14ac:dyDescent="0.15">
      <c r="A67" s="11" t="str">
        <f t="array" aca="1" ref="A67" ca="1">IFERROR(IF(ROWS($A$1:A67)&lt;=COUNTA('INPUT DATA'!$L$11:$L$60),INDEX('INPUT DATA'!$L$11:$L$60,_xludf.AGGREGATE(15,6,(ROW('INPUT DATA'!$L$11:$L$60)-ROW('INPUT DATA'!$L$11)+1)/('INPUT DATA'!$L$11:$L$60&lt;&gt;""),ROWS($A$1:A67))),INDEX('INPUT DATA'!$Q$11:$Q$60,_xludf.AGGREGATE(15,6,(ROW('INPUT DATA'!$Q$11:$Q$60)-ROW('INPUT DATA'!$Q$11)+1)/('INPUT DATA'!$Q$11:$Q$60&lt;&gt;""),ROWS($A$1:A67)-COUNTA('INPUT DATA'!$L$11:$L$60)))),"")</f>
        <v/>
      </c>
    </row>
    <row r="68" spans="1:1" ht="12.75" customHeight="1" x14ac:dyDescent="0.15">
      <c r="A68" s="11" t="str">
        <f t="array" aca="1" ref="A68" ca="1">IFERROR(IF(ROWS($A$1:A68)&lt;=COUNTA('INPUT DATA'!$L$11:$L$60),INDEX('INPUT DATA'!$L$11:$L$60,_xludf.AGGREGATE(15,6,(ROW('INPUT DATA'!$L$11:$L$60)-ROW('INPUT DATA'!$L$11)+1)/('INPUT DATA'!$L$11:$L$60&lt;&gt;""),ROWS($A$1:A68))),INDEX('INPUT DATA'!$Q$11:$Q$60,_xludf.AGGREGATE(15,6,(ROW('INPUT DATA'!$Q$11:$Q$60)-ROW('INPUT DATA'!$Q$11)+1)/('INPUT DATA'!$Q$11:$Q$60&lt;&gt;""),ROWS($A$1:A68)-COUNTA('INPUT DATA'!$L$11:$L$60)))),"")</f>
        <v/>
      </c>
    </row>
    <row r="69" spans="1:1" ht="12.75" customHeight="1" x14ac:dyDescent="0.15">
      <c r="A69" s="11" t="str">
        <f t="array" aca="1" ref="A69" ca="1">IFERROR(IF(ROWS($A$1:A69)&lt;=COUNTA('INPUT DATA'!$L$11:$L$60),INDEX('INPUT DATA'!$L$11:$L$60,_xludf.AGGREGATE(15,6,(ROW('INPUT DATA'!$L$11:$L$60)-ROW('INPUT DATA'!$L$11)+1)/('INPUT DATA'!$L$11:$L$60&lt;&gt;""),ROWS($A$1:A69))),INDEX('INPUT DATA'!$Q$11:$Q$60,_xludf.AGGREGATE(15,6,(ROW('INPUT DATA'!$Q$11:$Q$60)-ROW('INPUT DATA'!$Q$11)+1)/('INPUT DATA'!$Q$11:$Q$60&lt;&gt;""),ROWS($A$1:A69)-COUNTA('INPUT DATA'!$L$11:$L$60)))),"")</f>
        <v/>
      </c>
    </row>
    <row r="70" spans="1:1" ht="12.75" customHeight="1" x14ac:dyDescent="0.15">
      <c r="A70" s="11" t="str">
        <f t="array" aca="1" ref="A70" ca="1">IFERROR(IF(ROWS($A$1:A70)&lt;=COUNTA('INPUT DATA'!$L$11:$L$60),INDEX('INPUT DATA'!$L$11:$L$60,_xludf.AGGREGATE(15,6,(ROW('INPUT DATA'!$L$11:$L$60)-ROW('INPUT DATA'!$L$11)+1)/('INPUT DATA'!$L$11:$L$60&lt;&gt;""),ROWS($A$1:A70))),INDEX('INPUT DATA'!$Q$11:$Q$60,_xludf.AGGREGATE(15,6,(ROW('INPUT DATA'!$Q$11:$Q$60)-ROW('INPUT DATA'!$Q$11)+1)/('INPUT DATA'!$Q$11:$Q$60&lt;&gt;""),ROWS($A$1:A70)-COUNTA('INPUT DATA'!$L$11:$L$60)))),"")</f>
        <v/>
      </c>
    </row>
    <row r="71" spans="1:1" ht="12.75" customHeight="1" x14ac:dyDescent="0.15">
      <c r="A71" s="11" t="str">
        <f t="array" aca="1" ref="A71" ca="1">IFERROR(IF(ROWS($A$1:A71)&lt;=COUNTA('INPUT DATA'!$L$11:$L$60),INDEX('INPUT DATA'!$L$11:$L$60,_xludf.AGGREGATE(15,6,(ROW('INPUT DATA'!$L$11:$L$60)-ROW('INPUT DATA'!$L$11)+1)/('INPUT DATA'!$L$11:$L$60&lt;&gt;""),ROWS($A$1:A71))),INDEX('INPUT DATA'!$Q$11:$Q$60,_xludf.AGGREGATE(15,6,(ROW('INPUT DATA'!$Q$11:$Q$60)-ROW('INPUT DATA'!$Q$11)+1)/('INPUT DATA'!$Q$11:$Q$60&lt;&gt;""),ROWS($A$1:A71)-COUNTA('INPUT DATA'!$L$11:$L$60)))),"")</f>
        <v/>
      </c>
    </row>
    <row r="72" spans="1:1" ht="12.75" customHeight="1" x14ac:dyDescent="0.15">
      <c r="A72" s="11" t="str">
        <f t="array" aca="1" ref="A72" ca="1">IFERROR(IF(ROWS($A$1:A72)&lt;=COUNTA('INPUT DATA'!$L$11:$L$60),INDEX('INPUT DATA'!$L$11:$L$60,_xludf.AGGREGATE(15,6,(ROW('INPUT DATA'!$L$11:$L$60)-ROW('INPUT DATA'!$L$11)+1)/('INPUT DATA'!$L$11:$L$60&lt;&gt;""),ROWS($A$1:A72))),INDEX('INPUT DATA'!$Q$11:$Q$60,_xludf.AGGREGATE(15,6,(ROW('INPUT DATA'!$Q$11:$Q$60)-ROW('INPUT DATA'!$Q$11)+1)/('INPUT DATA'!$Q$11:$Q$60&lt;&gt;""),ROWS($A$1:A72)-COUNTA('INPUT DATA'!$L$11:$L$60)))),"")</f>
        <v/>
      </c>
    </row>
    <row r="73" spans="1:1" ht="12.75" customHeight="1" x14ac:dyDescent="0.15">
      <c r="A73" s="11" t="str">
        <f t="array" aca="1" ref="A73" ca="1">IFERROR(IF(ROWS($A$1:A73)&lt;=COUNTA('INPUT DATA'!$L$11:$L$60),INDEX('INPUT DATA'!$L$11:$L$60,_xludf.AGGREGATE(15,6,(ROW('INPUT DATA'!$L$11:$L$60)-ROW('INPUT DATA'!$L$11)+1)/('INPUT DATA'!$L$11:$L$60&lt;&gt;""),ROWS($A$1:A73))),INDEX('INPUT DATA'!$Q$11:$Q$60,_xludf.AGGREGATE(15,6,(ROW('INPUT DATA'!$Q$11:$Q$60)-ROW('INPUT DATA'!$Q$11)+1)/('INPUT DATA'!$Q$11:$Q$60&lt;&gt;""),ROWS($A$1:A73)-COUNTA('INPUT DATA'!$L$11:$L$60)))),"")</f>
        <v/>
      </c>
    </row>
    <row r="74" spans="1:1" ht="12.75" customHeight="1" x14ac:dyDescent="0.15">
      <c r="A74" s="11" t="str">
        <f t="array" aca="1" ref="A74" ca="1">IFERROR(IF(ROWS($A$1:A74)&lt;=COUNTA('INPUT DATA'!$L$11:$L$60),INDEX('INPUT DATA'!$L$11:$L$60,_xludf.AGGREGATE(15,6,(ROW('INPUT DATA'!$L$11:$L$60)-ROW('INPUT DATA'!$L$11)+1)/('INPUT DATA'!$L$11:$L$60&lt;&gt;""),ROWS($A$1:A74))),INDEX('INPUT DATA'!$Q$11:$Q$60,_xludf.AGGREGATE(15,6,(ROW('INPUT DATA'!$Q$11:$Q$60)-ROW('INPUT DATA'!$Q$11)+1)/('INPUT DATA'!$Q$11:$Q$60&lt;&gt;""),ROWS($A$1:A74)-COUNTA('INPUT DATA'!$L$11:$L$60)))),"")</f>
        <v/>
      </c>
    </row>
    <row r="75" spans="1:1" ht="12.75" customHeight="1" x14ac:dyDescent="0.15">
      <c r="A75" s="11" t="str">
        <f t="array" aca="1" ref="A75" ca="1">IFERROR(IF(ROWS($A$1:A75)&lt;=COUNTA('INPUT DATA'!$L$11:$L$60),INDEX('INPUT DATA'!$L$11:$L$60,_xludf.AGGREGATE(15,6,(ROW('INPUT DATA'!$L$11:$L$60)-ROW('INPUT DATA'!$L$11)+1)/('INPUT DATA'!$L$11:$L$60&lt;&gt;""),ROWS($A$1:A75))),INDEX('INPUT DATA'!$Q$11:$Q$60,_xludf.AGGREGATE(15,6,(ROW('INPUT DATA'!$Q$11:$Q$60)-ROW('INPUT DATA'!$Q$11)+1)/('INPUT DATA'!$Q$11:$Q$60&lt;&gt;""),ROWS($A$1:A75)-COUNTA('INPUT DATA'!$L$11:$L$60)))),"")</f>
        <v/>
      </c>
    </row>
    <row r="76" spans="1:1" ht="12.75" customHeight="1" x14ac:dyDescent="0.15">
      <c r="A76" s="11" t="str">
        <f t="array" aca="1" ref="A76" ca="1">IFERROR(IF(ROWS($A$1:A76)&lt;=COUNTA('INPUT DATA'!$L$11:$L$60),INDEX('INPUT DATA'!$L$11:$L$60,_xludf.AGGREGATE(15,6,(ROW('INPUT DATA'!$L$11:$L$60)-ROW('INPUT DATA'!$L$11)+1)/('INPUT DATA'!$L$11:$L$60&lt;&gt;""),ROWS($A$1:A76))),INDEX('INPUT DATA'!$Q$11:$Q$60,_xludf.AGGREGATE(15,6,(ROW('INPUT DATA'!$Q$11:$Q$60)-ROW('INPUT DATA'!$Q$11)+1)/('INPUT DATA'!$Q$11:$Q$60&lt;&gt;""),ROWS($A$1:A76)-COUNTA('INPUT DATA'!$L$11:$L$60)))),"")</f>
        <v/>
      </c>
    </row>
    <row r="77" spans="1:1" ht="12.75" customHeight="1" x14ac:dyDescent="0.15">
      <c r="A77" s="11" t="str">
        <f t="array" aca="1" ref="A77" ca="1">IFERROR(IF(ROWS($A$1:A77)&lt;=COUNTA('INPUT DATA'!$L$11:$L$60),INDEX('INPUT DATA'!$L$11:$L$60,_xludf.AGGREGATE(15,6,(ROW('INPUT DATA'!$L$11:$L$60)-ROW('INPUT DATA'!$L$11)+1)/('INPUT DATA'!$L$11:$L$60&lt;&gt;""),ROWS($A$1:A77))),INDEX('INPUT DATA'!$Q$11:$Q$60,_xludf.AGGREGATE(15,6,(ROW('INPUT DATA'!$Q$11:$Q$60)-ROW('INPUT DATA'!$Q$11)+1)/('INPUT DATA'!$Q$11:$Q$60&lt;&gt;""),ROWS($A$1:A77)-COUNTA('INPUT DATA'!$L$11:$L$60)))),"")</f>
        <v/>
      </c>
    </row>
    <row r="78" spans="1:1" ht="12.75" customHeight="1" x14ac:dyDescent="0.15">
      <c r="A78" s="11" t="str">
        <f t="array" aca="1" ref="A78" ca="1">IFERROR(IF(ROWS($A$1:A78)&lt;=COUNTA('INPUT DATA'!$L$11:$L$60),INDEX('INPUT DATA'!$L$11:$L$60,_xludf.AGGREGATE(15,6,(ROW('INPUT DATA'!$L$11:$L$60)-ROW('INPUT DATA'!$L$11)+1)/('INPUT DATA'!$L$11:$L$60&lt;&gt;""),ROWS($A$1:A78))),INDEX('INPUT DATA'!$Q$11:$Q$60,_xludf.AGGREGATE(15,6,(ROW('INPUT DATA'!$Q$11:$Q$60)-ROW('INPUT DATA'!$Q$11)+1)/('INPUT DATA'!$Q$11:$Q$60&lt;&gt;""),ROWS($A$1:A78)-COUNTA('INPUT DATA'!$L$11:$L$60)))),"")</f>
        <v/>
      </c>
    </row>
    <row r="79" spans="1:1" ht="12.75" customHeight="1" x14ac:dyDescent="0.15">
      <c r="A79" s="11" t="str">
        <f t="array" aca="1" ref="A79" ca="1">IFERROR(IF(ROWS($A$1:A79)&lt;=COUNTA('INPUT DATA'!$L$11:$L$60),INDEX('INPUT DATA'!$L$11:$L$60,_xludf.AGGREGATE(15,6,(ROW('INPUT DATA'!$L$11:$L$60)-ROW('INPUT DATA'!$L$11)+1)/('INPUT DATA'!$L$11:$L$60&lt;&gt;""),ROWS($A$1:A79))),INDEX('INPUT DATA'!$Q$11:$Q$60,_xludf.AGGREGATE(15,6,(ROW('INPUT DATA'!$Q$11:$Q$60)-ROW('INPUT DATA'!$Q$11)+1)/('INPUT DATA'!$Q$11:$Q$60&lt;&gt;""),ROWS($A$1:A79)-COUNTA('INPUT DATA'!$L$11:$L$60)))),"")</f>
        <v/>
      </c>
    </row>
    <row r="80" spans="1:1" ht="12.75" customHeight="1" x14ac:dyDescent="0.15">
      <c r="A80" s="11" t="str">
        <f t="array" aca="1" ref="A80" ca="1">IFERROR(IF(ROWS($A$1:A80)&lt;=COUNTA('INPUT DATA'!$L$11:$L$60),INDEX('INPUT DATA'!$L$11:$L$60,_xludf.AGGREGATE(15,6,(ROW('INPUT DATA'!$L$11:$L$60)-ROW('INPUT DATA'!$L$11)+1)/('INPUT DATA'!$L$11:$L$60&lt;&gt;""),ROWS($A$1:A80))),INDEX('INPUT DATA'!$Q$11:$Q$60,_xludf.AGGREGATE(15,6,(ROW('INPUT DATA'!$Q$11:$Q$60)-ROW('INPUT DATA'!$Q$11)+1)/('INPUT DATA'!$Q$11:$Q$60&lt;&gt;""),ROWS($A$1:A80)-COUNTA('INPUT DATA'!$L$11:$L$60)))),"")</f>
        <v/>
      </c>
    </row>
    <row r="81" spans="1:1" ht="12.75" customHeight="1" x14ac:dyDescent="0.15">
      <c r="A81" s="11" t="str">
        <f t="array" aca="1" ref="A81" ca="1">IFERROR(IF(ROWS($A$1:A81)&lt;=COUNTA('INPUT DATA'!$L$11:$L$60),INDEX('INPUT DATA'!$L$11:$L$60,_xludf.AGGREGATE(15,6,(ROW('INPUT DATA'!$L$11:$L$60)-ROW('INPUT DATA'!$L$11)+1)/('INPUT DATA'!$L$11:$L$60&lt;&gt;""),ROWS($A$1:A81))),INDEX('INPUT DATA'!$Q$11:$Q$60,_xludf.AGGREGATE(15,6,(ROW('INPUT DATA'!$Q$11:$Q$60)-ROW('INPUT DATA'!$Q$11)+1)/('INPUT DATA'!$Q$11:$Q$60&lt;&gt;""),ROWS($A$1:A81)-COUNTA('INPUT DATA'!$L$11:$L$60)))),"")</f>
        <v/>
      </c>
    </row>
    <row r="82" spans="1:1" ht="12.75" customHeight="1" x14ac:dyDescent="0.15">
      <c r="A82" s="11" t="str">
        <f t="array" aca="1" ref="A82" ca="1">IFERROR(IF(ROWS($A$1:A82)&lt;=COUNTA('INPUT DATA'!$L$11:$L$60),INDEX('INPUT DATA'!$L$11:$L$60,_xludf.AGGREGATE(15,6,(ROW('INPUT DATA'!$L$11:$L$60)-ROW('INPUT DATA'!$L$11)+1)/('INPUT DATA'!$L$11:$L$60&lt;&gt;""),ROWS($A$1:A82))),INDEX('INPUT DATA'!$Q$11:$Q$60,_xludf.AGGREGATE(15,6,(ROW('INPUT DATA'!$Q$11:$Q$60)-ROW('INPUT DATA'!$Q$11)+1)/('INPUT DATA'!$Q$11:$Q$60&lt;&gt;""),ROWS($A$1:A82)-COUNTA('INPUT DATA'!$L$11:$L$60)))),"")</f>
        <v/>
      </c>
    </row>
    <row r="83" spans="1:1" ht="12.75" customHeight="1" x14ac:dyDescent="0.15">
      <c r="A83" s="11" t="str">
        <f t="array" aca="1" ref="A83" ca="1">IFERROR(IF(ROWS($A$1:A83)&lt;=COUNTA('INPUT DATA'!$L$11:$L$60),INDEX('INPUT DATA'!$L$11:$L$60,_xludf.AGGREGATE(15,6,(ROW('INPUT DATA'!$L$11:$L$60)-ROW('INPUT DATA'!$L$11)+1)/('INPUT DATA'!$L$11:$L$60&lt;&gt;""),ROWS($A$1:A83))),INDEX('INPUT DATA'!$Q$11:$Q$60,_xludf.AGGREGATE(15,6,(ROW('INPUT DATA'!$Q$11:$Q$60)-ROW('INPUT DATA'!$Q$11)+1)/('INPUT DATA'!$Q$11:$Q$60&lt;&gt;""),ROWS($A$1:A83)-COUNTA('INPUT DATA'!$L$11:$L$60)))),"")</f>
        <v/>
      </c>
    </row>
    <row r="84" spans="1:1" ht="12.75" customHeight="1" x14ac:dyDescent="0.15">
      <c r="A84" s="11" t="str">
        <f t="array" aca="1" ref="A84" ca="1">IFERROR(IF(ROWS($A$1:A84)&lt;=COUNTA('INPUT DATA'!$L$11:$L$60),INDEX('INPUT DATA'!$L$11:$L$60,_xludf.AGGREGATE(15,6,(ROW('INPUT DATA'!$L$11:$L$60)-ROW('INPUT DATA'!$L$11)+1)/('INPUT DATA'!$L$11:$L$60&lt;&gt;""),ROWS($A$1:A84))),INDEX('INPUT DATA'!$Q$11:$Q$60,_xludf.AGGREGATE(15,6,(ROW('INPUT DATA'!$Q$11:$Q$60)-ROW('INPUT DATA'!$Q$11)+1)/('INPUT DATA'!$Q$11:$Q$60&lt;&gt;""),ROWS($A$1:A84)-COUNTA('INPUT DATA'!$L$11:$L$60)))),"")</f>
        <v/>
      </c>
    </row>
    <row r="85" spans="1:1" ht="12.75" customHeight="1" x14ac:dyDescent="0.15">
      <c r="A85" s="11" t="str">
        <f t="array" aca="1" ref="A85" ca="1">IFERROR(IF(ROWS($A$1:A85)&lt;=COUNTA('INPUT DATA'!$L$11:$L$60),INDEX('INPUT DATA'!$L$11:$L$60,_xludf.AGGREGATE(15,6,(ROW('INPUT DATA'!$L$11:$L$60)-ROW('INPUT DATA'!$L$11)+1)/('INPUT DATA'!$L$11:$L$60&lt;&gt;""),ROWS($A$1:A85))),INDEX('INPUT DATA'!$Q$11:$Q$60,_xludf.AGGREGATE(15,6,(ROW('INPUT DATA'!$Q$11:$Q$60)-ROW('INPUT DATA'!$Q$11)+1)/('INPUT DATA'!$Q$11:$Q$60&lt;&gt;""),ROWS($A$1:A85)-COUNTA('INPUT DATA'!$L$11:$L$60)))),"")</f>
        <v/>
      </c>
    </row>
    <row r="86" spans="1:1" ht="12.75" customHeight="1" x14ac:dyDescent="0.15">
      <c r="A86" s="11" t="str">
        <f t="array" aca="1" ref="A86" ca="1">IFERROR(IF(ROWS($A$1:A86)&lt;=COUNTA('INPUT DATA'!$L$11:$L$60),INDEX('INPUT DATA'!$L$11:$L$60,_xludf.AGGREGATE(15,6,(ROW('INPUT DATA'!$L$11:$L$60)-ROW('INPUT DATA'!$L$11)+1)/('INPUT DATA'!$L$11:$L$60&lt;&gt;""),ROWS($A$1:A86))),INDEX('INPUT DATA'!$Q$11:$Q$60,_xludf.AGGREGATE(15,6,(ROW('INPUT DATA'!$Q$11:$Q$60)-ROW('INPUT DATA'!$Q$11)+1)/('INPUT DATA'!$Q$11:$Q$60&lt;&gt;""),ROWS($A$1:A86)-COUNTA('INPUT DATA'!$L$11:$L$60)))),"")</f>
        <v/>
      </c>
    </row>
    <row r="87" spans="1:1" ht="12.75" customHeight="1" x14ac:dyDescent="0.15">
      <c r="A87" s="11" t="str">
        <f t="array" aca="1" ref="A87" ca="1">IFERROR(IF(ROWS($A$1:A87)&lt;=COUNTA('INPUT DATA'!$L$11:$L$60),INDEX('INPUT DATA'!$L$11:$L$60,_xludf.AGGREGATE(15,6,(ROW('INPUT DATA'!$L$11:$L$60)-ROW('INPUT DATA'!$L$11)+1)/('INPUT DATA'!$L$11:$L$60&lt;&gt;""),ROWS($A$1:A87))),INDEX('INPUT DATA'!$Q$11:$Q$60,_xludf.AGGREGATE(15,6,(ROW('INPUT DATA'!$Q$11:$Q$60)-ROW('INPUT DATA'!$Q$11)+1)/('INPUT DATA'!$Q$11:$Q$60&lt;&gt;""),ROWS($A$1:A87)-COUNTA('INPUT DATA'!$L$11:$L$60)))),"")</f>
        <v/>
      </c>
    </row>
    <row r="88" spans="1:1" ht="12.75" customHeight="1" x14ac:dyDescent="0.15">
      <c r="A88" s="11" t="str">
        <f t="array" aca="1" ref="A88" ca="1">IFERROR(IF(ROWS($A$1:A88)&lt;=COUNTA('INPUT DATA'!$L$11:$L$60),INDEX('INPUT DATA'!$L$11:$L$60,_xludf.AGGREGATE(15,6,(ROW('INPUT DATA'!$L$11:$L$60)-ROW('INPUT DATA'!$L$11)+1)/('INPUT DATA'!$L$11:$L$60&lt;&gt;""),ROWS($A$1:A88))),INDEX('INPUT DATA'!$Q$11:$Q$60,_xludf.AGGREGATE(15,6,(ROW('INPUT DATA'!$Q$11:$Q$60)-ROW('INPUT DATA'!$Q$11)+1)/('INPUT DATA'!$Q$11:$Q$60&lt;&gt;""),ROWS($A$1:A88)-COUNTA('INPUT DATA'!$L$11:$L$60)))),"")</f>
        <v/>
      </c>
    </row>
    <row r="89" spans="1:1" ht="12.75" customHeight="1" x14ac:dyDescent="0.15">
      <c r="A89" s="11" t="str">
        <f t="array" aca="1" ref="A89" ca="1">IFERROR(IF(ROWS($A$1:A89)&lt;=COUNTA('INPUT DATA'!$L$11:$L$60),INDEX('INPUT DATA'!$L$11:$L$60,_xludf.AGGREGATE(15,6,(ROW('INPUT DATA'!$L$11:$L$60)-ROW('INPUT DATA'!$L$11)+1)/('INPUT DATA'!$L$11:$L$60&lt;&gt;""),ROWS($A$1:A89))),INDEX('INPUT DATA'!$Q$11:$Q$60,_xludf.AGGREGATE(15,6,(ROW('INPUT DATA'!$Q$11:$Q$60)-ROW('INPUT DATA'!$Q$11)+1)/('INPUT DATA'!$Q$11:$Q$60&lt;&gt;""),ROWS($A$1:A89)-COUNTA('INPUT DATA'!$L$11:$L$60)))),"")</f>
        <v/>
      </c>
    </row>
    <row r="90" spans="1:1" ht="12.75" customHeight="1" x14ac:dyDescent="0.15">
      <c r="A90" s="11" t="str">
        <f t="array" aca="1" ref="A90" ca="1">IFERROR(IF(ROWS($A$1:A90)&lt;=COUNTA('INPUT DATA'!$L$11:$L$60),INDEX('INPUT DATA'!$L$11:$L$60,_xludf.AGGREGATE(15,6,(ROW('INPUT DATA'!$L$11:$L$60)-ROW('INPUT DATA'!$L$11)+1)/('INPUT DATA'!$L$11:$L$60&lt;&gt;""),ROWS($A$1:A90))),INDEX('INPUT DATA'!$Q$11:$Q$60,_xludf.AGGREGATE(15,6,(ROW('INPUT DATA'!$Q$11:$Q$60)-ROW('INPUT DATA'!$Q$11)+1)/('INPUT DATA'!$Q$11:$Q$60&lt;&gt;""),ROWS($A$1:A90)-COUNTA('INPUT DATA'!$L$11:$L$60)))),"")</f>
        <v/>
      </c>
    </row>
    <row r="91" spans="1:1" ht="12.75" customHeight="1" x14ac:dyDescent="0.15">
      <c r="A91" s="11" t="str">
        <f t="array" aca="1" ref="A91" ca="1">IFERROR(IF(ROWS($A$1:A91)&lt;=COUNTA('INPUT DATA'!$L$11:$L$60),INDEX('INPUT DATA'!$L$11:$L$60,_xludf.AGGREGATE(15,6,(ROW('INPUT DATA'!$L$11:$L$60)-ROW('INPUT DATA'!$L$11)+1)/('INPUT DATA'!$L$11:$L$60&lt;&gt;""),ROWS($A$1:A91))),INDEX('INPUT DATA'!$Q$11:$Q$60,_xludf.AGGREGATE(15,6,(ROW('INPUT DATA'!$Q$11:$Q$60)-ROW('INPUT DATA'!$Q$11)+1)/('INPUT DATA'!$Q$11:$Q$60&lt;&gt;""),ROWS($A$1:A91)-COUNTA('INPUT DATA'!$L$11:$L$60)))),"")</f>
        <v/>
      </c>
    </row>
    <row r="92" spans="1:1" ht="12.75" customHeight="1" x14ac:dyDescent="0.15">
      <c r="A92" s="11" t="str">
        <f t="array" aca="1" ref="A92" ca="1">IFERROR(IF(ROWS($A$1:A92)&lt;=COUNTA('INPUT DATA'!$L$11:$L$60),INDEX('INPUT DATA'!$L$11:$L$60,_xludf.AGGREGATE(15,6,(ROW('INPUT DATA'!$L$11:$L$60)-ROW('INPUT DATA'!$L$11)+1)/('INPUT DATA'!$L$11:$L$60&lt;&gt;""),ROWS($A$1:A92))),INDEX('INPUT DATA'!$Q$11:$Q$60,_xludf.AGGREGATE(15,6,(ROW('INPUT DATA'!$Q$11:$Q$60)-ROW('INPUT DATA'!$Q$11)+1)/('INPUT DATA'!$Q$11:$Q$60&lt;&gt;""),ROWS($A$1:A92)-COUNTA('INPUT DATA'!$L$11:$L$60)))),"")</f>
        <v/>
      </c>
    </row>
    <row r="93" spans="1:1" ht="12.75" customHeight="1" x14ac:dyDescent="0.15">
      <c r="A93" s="11" t="str">
        <f t="array" aca="1" ref="A93" ca="1">IFERROR(IF(ROWS($A$1:A93)&lt;=COUNTA('INPUT DATA'!$L$11:$L$60),INDEX('INPUT DATA'!$L$11:$L$60,_xludf.AGGREGATE(15,6,(ROW('INPUT DATA'!$L$11:$L$60)-ROW('INPUT DATA'!$L$11)+1)/('INPUT DATA'!$L$11:$L$60&lt;&gt;""),ROWS($A$1:A93))),INDEX('INPUT DATA'!$Q$11:$Q$60,_xludf.AGGREGATE(15,6,(ROW('INPUT DATA'!$Q$11:$Q$60)-ROW('INPUT DATA'!$Q$11)+1)/('INPUT DATA'!$Q$11:$Q$60&lt;&gt;""),ROWS($A$1:A93)-COUNTA('INPUT DATA'!$L$11:$L$60)))),"")</f>
        <v/>
      </c>
    </row>
    <row r="94" spans="1:1" ht="12.75" customHeight="1" x14ac:dyDescent="0.15">
      <c r="A94" s="11" t="str">
        <f t="array" aca="1" ref="A94" ca="1">IFERROR(IF(ROWS($A$1:A94)&lt;=COUNTA('INPUT DATA'!$L$11:$L$60),INDEX('INPUT DATA'!$L$11:$L$60,_xludf.AGGREGATE(15,6,(ROW('INPUT DATA'!$L$11:$L$60)-ROW('INPUT DATA'!$L$11)+1)/('INPUT DATA'!$L$11:$L$60&lt;&gt;""),ROWS($A$1:A94))),INDEX('INPUT DATA'!$Q$11:$Q$60,_xludf.AGGREGATE(15,6,(ROW('INPUT DATA'!$Q$11:$Q$60)-ROW('INPUT DATA'!$Q$11)+1)/('INPUT DATA'!$Q$11:$Q$60&lt;&gt;""),ROWS($A$1:A94)-COUNTA('INPUT DATA'!$L$11:$L$60)))),"")</f>
        <v/>
      </c>
    </row>
    <row r="95" spans="1:1" ht="12.75" customHeight="1" x14ac:dyDescent="0.15">
      <c r="A95" s="11" t="str">
        <f t="array" aca="1" ref="A95" ca="1">IFERROR(IF(ROWS($A$1:A95)&lt;=COUNTA('INPUT DATA'!$L$11:$L$60),INDEX('INPUT DATA'!$L$11:$L$60,_xludf.AGGREGATE(15,6,(ROW('INPUT DATA'!$L$11:$L$60)-ROW('INPUT DATA'!$L$11)+1)/('INPUT DATA'!$L$11:$L$60&lt;&gt;""),ROWS($A$1:A95))),INDEX('INPUT DATA'!$Q$11:$Q$60,_xludf.AGGREGATE(15,6,(ROW('INPUT DATA'!$Q$11:$Q$60)-ROW('INPUT DATA'!$Q$11)+1)/('INPUT DATA'!$Q$11:$Q$60&lt;&gt;""),ROWS($A$1:A95)-COUNTA('INPUT DATA'!$L$11:$L$60)))),"")</f>
        <v/>
      </c>
    </row>
    <row r="96" spans="1:1" ht="12.75" customHeight="1" x14ac:dyDescent="0.15">
      <c r="A96" s="11" t="str">
        <f t="array" aca="1" ref="A96" ca="1">IFERROR(IF(ROWS($A$1:A96)&lt;=COUNTA('INPUT DATA'!$L$11:$L$60),INDEX('INPUT DATA'!$L$11:$L$60,_xludf.AGGREGATE(15,6,(ROW('INPUT DATA'!$L$11:$L$60)-ROW('INPUT DATA'!$L$11)+1)/('INPUT DATA'!$L$11:$L$60&lt;&gt;""),ROWS($A$1:A96))),INDEX('INPUT DATA'!$Q$11:$Q$60,_xludf.AGGREGATE(15,6,(ROW('INPUT DATA'!$Q$11:$Q$60)-ROW('INPUT DATA'!$Q$11)+1)/('INPUT DATA'!$Q$11:$Q$60&lt;&gt;""),ROWS($A$1:A96)-COUNTA('INPUT DATA'!$L$11:$L$60)))),"")</f>
        <v/>
      </c>
    </row>
    <row r="97" spans="1:1" ht="12.75" customHeight="1" x14ac:dyDescent="0.15">
      <c r="A97" s="11" t="str">
        <f t="array" aca="1" ref="A97" ca="1">IFERROR(IF(ROWS($A$1:A97)&lt;=COUNTA('INPUT DATA'!$L$11:$L$60),INDEX('INPUT DATA'!$L$11:$L$60,_xludf.AGGREGATE(15,6,(ROW('INPUT DATA'!$L$11:$L$60)-ROW('INPUT DATA'!$L$11)+1)/('INPUT DATA'!$L$11:$L$60&lt;&gt;""),ROWS($A$1:A97))),INDEX('INPUT DATA'!$Q$11:$Q$60,_xludf.AGGREGATE(15,6,(ROW('INPUT DATA'!$Q$11:$Q$60)-ROW('INPUT DATA'!$Q$11)+1)/('INPUT DATA'!$Q$11:$Q$60&lt;&gt;""),ROWS($A$1:A97)-COUNTA('INPUT DATA'!$L$11:$L$60)))),"")</f>
        <v/>
      </c>
    </row>
    <row r="98" spans="1:1" ht="12.75" customHeight="1" x14ac:dyDescent="0.15">
      <c r="A98" s="11" t="str">
        <f t="array" aca="1" ref="A98" ca="1">IFERROR(IF(ROWS($A$1:A98)&lt;=COUNTA('INPUT DATA'!$L$11:$L$60),INDEX('INPUT DATA'!$L$11:$L$60,_xludf.AGGREGATE(15,6,(ROW('INPUT DATA'!$L$11:$L$60)-ROW('INPUT DATA'!$L$11)+1)/('INPUT DATA'!$L$11:$L$60&lt;&gt;""),ROWS($A$1:A98))),INDEX('INPUT DATA'!$Q$11:$Q$60,_xludf.AGGREGATE(15,6,(ROW('INPUT DATA'!$Q$11:$Q$60)-ROW('INPUT DATA'!$Q$11)+1)/('INPUT DATA'!$Q$11:$Q$60&lt;&gt;""),ROWS($A$1:A98)-COUNTA('INPUT DATA'!$L$11:$L$60)))),"")</f>
        <v/>
      </c>
    </row>
    <row r="99" spans="1:1" ht="12.75" customHeight="1" x14ac:dyDescent="0.15">
      <c r="A99" s="11" t="str">
        <f t="array" aca="1" ref="A99" ca="1">IFERROR(IF(ROWS($A$1:A99)&lt;=COUNTA('INPUT DATA'!$L$11:$L$60),INDEX('INPUT DATA'!$L$11:$L$60,_xludf.AGGREGATE(15,6,(ROW('INPUT DATA'!$L$11:$L$60)-ROW('INPUT DATA'!$L$11)+1)/('INPUT DATA'!$L$11:$L$60&lt;&gt;""),ROWS($A$1:A99))),INDEX('INPUT DATA'!$Q$11:$Q$60,_xludf.AGGREGATE(15,6,(ROW('INPUT DATA'!$Q$11:$Q$60)-ROW('INPUT DATA'!$Q$11)+1)/('INPUT DATA'!$Q$11:$Q$60&lt;&gt;""),ROWS($A$1:A99)-COUNTA('INPUT DATA'!$L$11:$L$60)))),"")</f>
        <v/>
      </c>
    </row>
    <row r="100" spans="1:1" ht="12.75" customHeight="1" x14ac:dyDescent="0.15">
      <c r="A100" s="11" t="str">
        <f t="array" aca="1" ref="A100" ca="1">IFERROR(IF(ROWS($A$1:A100)&lt;=COUNTA('INPUT DATA'!$L$11:$L$60),INDEX('INPUT DATA'!$L$11:$L$60,_xludf.AGGREGATE(15,6,(ROW('INPUT DATA'!$L$11:$L$60)-ROW('INPUT DATA'!$L$11)+1)/('INPUT DATA'!$L$11:$L$60&lt;&gt;""),ROWS($A$1:A100))),INDEX('INPUT DATA'!$Q$11:$Q$60,_xludf.AGGREGATE(15,6,(ROW('INPUT DATA'!$Q$11:$Q$60)-ROW('INPUT DATA'!$Q$11)+1)/('INPUT DATA'!$Q$11:$Q$60&lt;&gt;""),ROWS($A$1:A100)-COUNTA('INPUT DATA'!$L$11:$L$60)))),"")</f>
        <v/>
      </c>
    </row>
    <row r="101" spans="1:1" ht="12.75" customHeight="1" x14ac:dyDescent="0.15"/>
    <row r="102" spans="1:1" ht="12.75" customHeight="1" x14ac:dyDescent="0.15"/>
    <row r="103" spans="1:1" ht="12.75" customHeight="1" x14ac:dyDescent="0.15"/>
    <row r="104" spans="1:1" ht="12.75" customHeight="1" x14ac:dyDescent="0.15"/>
    <row r="105" spans="1:1" ht="12.75" customHeight="1" x14ac:dyDescent="0.15"/>
    <row r="106" spans="1:1" ht="12.75" customHeight="1" x14ac:dyDescent="0.15"/>
    <row r="107" spans="1:1" ht="12.75" customHeight="1" x14ac:dyDescent="0.15"/>
    <row r="108" spans="1:1" ht="12.75" customHeight="1" x14ac:dyDescent="0.15"/>
    <row r="109" spans="1:1" ht="12.75" customHeight="1" x14ac:dyDescent="0.15"/>
    <row r="110" spans="1:1" ht="12.75" customHeight="1" x14ac:dyDescent="0.15"/>
    <row r="111" spans="1:1" ht="12.75" customHeight="1" x14ac:dyDescent="0.15"/>
    <row r="112" spans="1:1"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Home</vt:lpstr>
      <vt:lpstr>INPUT DATA</vt:lpstr>
      <vt:lpstr>TERM 1 SUMMARY</vt:lpstr>
      <vt:lpstr>TERM 2 SUMMARY</vt:lpstr>
      <vt:lpstr>TERM 3 SUMMARY</vt:lpstr>
      <vt:lpstr>_SF9_LEARNER_LIST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Cruzata Kevin</cp:lastModifiedBy>
  <dcterms:created xsi:type="dcterms:W3CDTF">2026-08-27T00:13:46Z</dcterms:created>
  <dcterms:modified xsi:type="dcterms:W3CDTF">2026-10-30T22:04:30Z</dcterms:modified>
</cp:coreProperties>
</file>